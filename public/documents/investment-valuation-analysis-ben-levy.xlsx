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7abf86106049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f75de0dfcd047ee"/>
    <x:sheet xmlns:r="http://schemas.openxmlformats.org/officeDocument/2006/relationships" name="Source Data" sheetId="2" r:id="R2ffe2c134e454ef7"/>
    <x:sheet xmlns:r="http://schemas.openxmlformats.org/officeDocument/2006/relationships" name="Financial Analysis" sheetId="3" r:id="R146e074a053b490c"/>
    <x:sheet xmlns:r="http://schemas.openxmlformats.org/officeDocument/2006/relationships" name="DCF Model" sheetId="4" r:id="R1d77b954fd69406e"/>
    <x:sheet xmlns:r="http://schemas.openxmlformats.org/officeDocument/2006/relationships" name="Comps" sheetId="5" r:id="R3ff37016e3ea4d30"/>
    <x:sheet xmlns:r="http://schemas.openxmlformats.org/officeDocument/2006/relationships" name="Investment Summary" sheetId="6" r:id="R280c32cad1bb4c63"/>
    <x:sheet xmlns:r="http://schemas.openxmlformats.org/officeDocument/2006/relationships" name="Sources" sheetId="7" r:id="R69c20cd5c9c840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$#,##0_);[Red]($#,##0);-"/>
    <x:numFmt numFmtId="201" formatCode="$0.00"/>
    <x:numFmt numFmtId="202" formatCode="#,##0.0"/>
    <x:numFmt numFmtId="203" formatCode="0.0%"/>
    <x:numFmt numFmtId="204" formatCode="0.00x"/>
    <x:numFmt numFmtId="205" formatCode="0.000x"/>
    <x:numFmt numFmtId="206" formatCode="0.0x"/>
  </x:numFmts>
  <x:fonts count="10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1"/>
      <x:color rgb="000000"/>
      <x:name val="Carlito"/>
    </x:font>
    <x:font>
      <x:b/>
      <x:sz val="15"/>
      <x:color rgb="FFFFFF"/>
      <x:name val="Carlito"/>
    </x:font>
    <x:font>
      <x:sz val="11"/>
      <x:color rgb="0000FF"/>
      <x:name val="Carlito"/>
    </x:font>
    <x:font>
      <x:sz val="11"/>
      <x:color rgb="000000"/>
      <x:name val="Carlito"/>
    </x:font>
    <x:font>
      <x:b/>
      <x:sz val="13"/>
      <x:name val="Carlito"/>
    </x:font>
    <x:font>
      <x:b/>
      <x:sz val="13"/>
      <x:color rgb="000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B1F3A"/>
      </x:patternFill>
    </x:fill>
    <x:fill>
      <x:patternFill patternType="solid">
        <x:fgColor rgb="FFF4CC"/>
      </x:patternFill>
    </x:fill>
    <x:fill>
      <x:patternFill patternType="solid">
        <x:fgColor rgb="F3F4F6"/>
      </x:patternFill>
    </x:fill>
    <x:fill>
      <x:patternFill patternType="solid">
        <x:fgColor rgb="111827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0"/>
  </x:cellStyleXfs>
  <x:cellXfs count="1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top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0" fontId="7" fillId="0" borderId="0" xfId="0" applyNumberFormat="1" applyFont="1" applyFill="1" applyBorder="1"/>
    <x:xf numFmtId="200" fontId="7" fillId="0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203" fontId="7" fillId="0" borderId="0" xfId="0" applyNumberFormat="1" applyFont="1" applyFill="1" applyBorder="1"/>
    <x:xf numFmtId="203" fontId="7" fillId="0" borderId="1" xfId="0" applyNumberFormat="1" applyFont="1" applyFill="1" applyBorder="1"/>
    <x:xf numFmtId="204" fontId="7" fillId="0" borderId="0" xfId="0" applyNumberFormat="1" applyFont="1" applyFill="1" applyBorder="1"/>
    <x:xf numFmtId="204" fontId="7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/>
    </x:xf>
    <x:xf numFmtId="0" fontId="3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left"/>
    </x:xf>
    <x:xf numFmtId="0" fontId="3" fillId="5" borderId="1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203" fontId="6" fillId="3" borderId="0" xfId="0" applyNumberFormat="1" applyFont="1" applyFill="1" applyBorder="1"/>
    <x:xf numFmtId="203" fontId="6" fillId="3" borderId="1" xfId="0" applyNumberFormat="1" applyFont="1" applyFill="1" applyBorder="1"/>
    <x:xf numFmtId="200" fontId="6" fillId="3" borderId="0" xfId="0" applyNumberFormat="1" applyFont="1" applyFill="1" applyBorder="1"/>
    <x:xf numFmtId="200" fontId="6" fillId="3" borderId="1" xfId="0" applyNumberFormat="1" applyFont="1" applyFill="1" applyBorder="1"/>
    <x:xf numFmtId="202" fontId="7" fillId="0" borderId="0" xfId="0" applyNumberFormat="1" applyFont="1" applyFill="1" applyBorder="1"/>
    <x:xf numFmtId="202" fontId="7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7" fillId="0" borderId="0" xfId="0" applyNumberFormat="1" applyFont="1" applyFill="1" applyBorder="1"/>
    <x:xf numFmtId="205" fontId="0" fillId="0" borderId="1" xfId="0" applyNumberFormat="1" applyFont="1" applyFill="1" applyBorder="1"/>
    <x:xf numFmtId="205" fontId="7" fillId="0" borderId="1" xfId="0" applyNumberFormat="1" applyFont="1" applyFill="1" applyBorder="1"/>
    <x:xf numFmtId="201" fontId="7" fillId="0" borderId="0" xfId="0" applyNumberFormat="1" applyFont="1" applyFill="1" applyBorder="1"/>
    <x:xf numFmtId="201" fontId="7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3" fontId="4" fillId="4" borderId="0" xfId="0" applyNumberFormat="1" applyFont="1" applyFill="1" applyBorder="1" applyAlignment="1">
      <x:alignment horizontal="center" vertical="center"/>
    </x:xf>
    <x:xf numFmtId="203" fontId="4" fillId="4" borderId="1" xfId="0" applyNumberFormat="1" applyFont="1" applyFill="1" applyBorder="1" applyAlignment="1">
      <x:alignment horizontal="center" vertical="center"/>
    </x:xf>
    <x:xf numFmtId="206" fontId="6" fillId="0" borderId="0" xfId="0" applyNumberFormat="1" applyFont="1" applyFill="1" applyBorder="1"/>
    <x:xf numFmtId="206" fontId="6" fillId="0" borderId="1" xfId="0" applyNumberFormat="1" applyFont="1" applyFill="1" applyBorder="1"/>
    <x:xf numFmtId="206" fontId="6" fillId="0" borderId="0" xfId="0" applyNumberFormat="1" applyFont="1" applyFill="1" applyBorder="1" applyAlignment="1">
      <x:alignment wrapText="1"/>
    </x:xf>
    <x:xf numFmtId="206" fontId="6" fillId="0" borderId="1" xfId="0" applyNumberFormat="1" applyFont="1" applyFill="1" applyBorder="1" applyAlignment="1">
      <x:alignment wrapText="1"/>
    </x:xf>
    <x:xf numFmtId="206" fontId="7" fillId="0" borderId="0" xfId="0" applyNumberFormat="1" applyFont="1" applyFill="1" applyBorder="1"/>
    <x:xf numFmtId="206" fontId="7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horizontal="center"/>
    </x:xf>
    <x:xf numFmtId="201" fontId="8" fillId="6" borderId="0" xfId="0" applyNumberFormat="1" applyFont="1" applyFill="1" applyBorder="1" applyAlignment="1">
      <x:alignment horizontal="center"/>
    </x:xf>
    <x:xf numFmtId="201" fontId="8" fillId="6" borderId="1" xfId="0" applyNumberFormat="1" applyFont="1" applyFill="1" applyBorder="1" applyAlignment="1">
      <x:alignment horizontal="center"/>
    </x:xf>
    <x:xf numFmtId="203" fontId="8" fillId="6" borderId="0" xfId="0" applyNumberFormat="1" applyFont="1" applyFill="1" applyBorder="1" applyAlignment="1">
      <x:alignment horizontal="center"/>
    </x:xf>
    <x:xf numFmtId="203" fontId="8" fillId="6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vertical="top"/>
    </x:xf>
    <x:xf numFmtId="0" fontId="2" fillId="4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201" fontId="9" fillId="6" borderId="0" xfId="0" applyNumberFormat="1" applyFont="1" applyFill="1" applyBorder="1" applyAlignment="1">
      <x:alignment horizontal="center"/>
    </x:xf>
    <x:xf numFmtId="201" fontId="9" fillId="6" borderId="1" xfId="0" applyNumberFormat="1" applyFont="1" applyFill="1" applyBorder="1" applyAlignment="1">
      <x:alignment horizontal="center"/>
    </x:xf>
    <x:xf numFmtId="203" fontId="9" fillId="6" borderId="0" xfId="0" applyNumberFormat="1" applyFont="1" applyFill="1" applyBorder="1" applyAlignment="1">
      <x:alignment horizontal="center"/>
    </x:xf>
    <x:xf numFmtId="203" fontId="9" fillId="6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9d5cea213c4693" /><Relationship Type="http://schemas.openxmlformats.org/officeDocument/2006/relationships/theme" Target="/xl/theme/theme1.xml" Id="R2f0a7d5c8b9f4999" /><Relationship Type="http://schemas.openxmlformats.org/officeDocument/2006/relationships/sharedStrings" Target="/xl/sharedStrings.xml" Id="Rbc552a2c30c543e5" /><Relationship Type="http://schemas.openxmlformats.org/officeDocument/2006/relationships/worksheet" Target="/xl/worksheets/sheet1.xml" Id="Raf75de0dfcd047ee" /><Relationship Type="http://schemas.openxmlformats.org/officeDocument/2006/relationships/worksheet" Target="/xl/worksheets/sheet2.xml" Id="R2ffe2c134e454ef7" /><Relationship Type="http://schemas.openxmlformats.org/officeDocument/2006/relationships/worksheet" Target="/xl/worksheets/sheet3.xml" Id="R146e074a053b490c" /><Relationship Type="http://schemas.openxmlformats.org/officeDocument/2006/relationships/worksheet" Target="/xl/worksheets/sheet4.xml" Id="R1d77b954fd69406e" /><Relationship Type="http://schemas.openxmlformats.org/officeDocument/2006/relationships/worksheet" Target="/xl/worksheets/sheet5.xml" Id="R3ff37016e3ea4d30" /><Relationship Type="http://schemas.openxmlformats.org/officeDocument/2006/relationships/worksheet" Target="/xl/worksheets/sheet6.xml" Id="R280c32cad1bb4c63" /><Relationship Type="http://schemas.openxmlformats.org/officeDocument/2006/relationships/worksheet" Target="/xl/worksheets/sheet7.xml" Id="R69c20cd5c9c8406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14215e084b64a2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3c92ce5d6054461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039917320df41c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Revenue, Operating Income, and Free Cash Flow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Revenue</c:v>
          </c:tx>
          <c:cat>
            <c:strRef>
              <c:f>'Financial Analysis'!$A$17:$A$19</c:f>
              <c:strCache>
                <c:ptCount val="0"/>
              </c:strCache>
            </c:strRef>
          </c:cat>
          <c:val>
            <c:numRef>
              <c:f>'Financial Analysis'!$B$17:$B$19</c:f>
              <c:numCache>
                <c:formatCode>$#,##0_);[Red]($#,##0);-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Operating Income</c:v>
          </c:tx>
          <c:cat>
            <c:strRef>
              <c:f>'Financial Analysis'!$A$17:$A$19</c:f>
              <c:strCache>
                <c:ptCount val="0"/>
              </c:strCache>
            </c:strRef>
          </c:cat>
          <c:val>
            <c:numRef>
              <c:f>'Financial Analysis'!$C$17:$C$19</c:f>
              <c:numCache>
                <c:formatCode>$#,##0_);[Red]($#,##0);-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Free Cash Flow</c:v>
          </c:tx>
          <c:cat>
            <c:strRef>
              <c:f>'Financial Analysis'!$A$17:$A$19</c:f>
              <c:strCache>
                <c:ptCount val="0"/>
              </c:strCache>
            </c:strRef>
          </c:cat>
          <c:val>
            <c:numRef>
              <c:f>'Financial Analysis'!$D$17:$D$19</c:f>
              <c:numCache>
                <c:formatCode>$#,##0_);[Red]($#,##0);-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Comparable Company Multiples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Ticker</c:v>
          </c:tx>
          <c:cat>
            <c:strRef>
              <c:f>'Comps'!$A$5:$A$9</c:f>
              <c:strCache>
                <c:ptCount val="0"/>
              </c:strCache>
            </c:strRef>
          </c:cat>
          <c:val>
            <c:numRef>
              <c:f>'Comps'!$B$5:$B$9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Business Model Relevance</c:v>
          </c:tx>
          <c:cat>
            <c:strRef>
              <c:f>'Comps'!$A$5:$A$9</c:f>
              <c:strCache>
                <c:ptCount val="0"/>
              </c:strCache>
            </c:strRef>
          </c:cat>
          <c:val>
            <c:numRef>
              <c:f>'Comps'!$C$5:$C$9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EV/Revenue</c:v>
          </c:tx>
          <c:cat>
            <c:strRef>
              <c:f>'Comps'!$A$5:$A$9</c:f>
              <c:strCache>
                <c:ptCount val="0"/>
              </c:strCache>
            </c:strRef>
          </c:cat>
          <c:val>
            <c:numRef>
              <c:f>'Comps'!$D$5:$D$9</c:f>
              <c:numCache>
                <c:formatCode>0.0x</c:formatCode>
                <c:ptCount val="0"/>
              </c:numCache>
            </c:numRef>
          </c:val>
        </c:ser>
        <c:ser>
          <c:idx val="3"/>
          <c:order val="3"/>
          <c:tx>
            <c:v>P/E</c:v>
          </c:tx>
          <c:cat>
            <c:strRef>
              <c:f>'Comps'!$A$5:$A$9</c:f>
              <c:strCache>
                <c:ptCount val="0"/>
              </c:strCache>
            </c:strRef>
          </c:cat>
          <c:val>
            <c:numRef>
              <c:f>'Comps'!$E$5:$E$9</c:f>
              <c:numCache>
                <c:formatCode>0.0x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Implied Price per Share by Method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Implied Price/Share</c:v>
          </c:tx>
          <c:cat>
            <c:strRef>
              <c:f>'Investment Summary'!$D$12:$D$14</c:f>
              <c:strCache>
                <c:ptCount val="0"/>
              </c:strCache>
            </c:strRef>
          </c:cat>
          <c:val>
            <c:numRef>
              <c:f>'Investment Summary'!$E$12:$E$14</c:f>
              <c:numCache>
                <c:formatCode>$0.00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4215e084b64a2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92ce5d6054461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3</xdr:col>
      <xdr:colOff>0</xdr:colOff>
      <xdr:row>16</xdr:row>
      <xdr:rowOff>0</xdr:rowOff>
    </xdr:from>
    <xdr:to>
      <xdr:col>10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39917320df41c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comeStatement" displayName="IncomeStatement" ref="A4:F20" headerRowCount="1">
  <x:tableColumns count="6">
    <x:tableColumn id="1" name="Income Statement ($mm)"/>
    <x:tableColumn id="2" name="2023"/>
    <x:tableColumn id="3" name="2024"/>
    <x:tableColumn id="4" name="2025"/>
    <x:tableColumn id="5" name="Source"/>
    <x:tableColumn id="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BalanceSheet" displayName="BalanceSheet" ref="H4:L24" headerRowCount="1">
  <x:tableColumns count="5">
    <x:tableColumn id="1" name="Balance Sheet ($mm)"/>
    <x:tableColumn id="2" name="2024"/>
    <x:tableColumn id="3" name="2025"/>
    <x:tableColumn id="4" name="Source"/>
    <x:tableColumn id="5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CashFlow" displayName="CashFlow" ref="A23:F28" headerRowCount="1">
  <x:tableColumns count="6">
    <x:tableColumn id="1" name="Cash Flow Statement ($mm)"/>
    <x:tableColumn id="2" name="2023"/>
    <x:tableColumn id="3" name="2024"/>
    <x:tableColumn id="4" name="2025"/>
    <x:tableColumn id="5" name="Source"/>
    <x:tableColumn id="6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FinancialRatios" displayName="FinancialRatios" ref="A4:F13" headerRowCount="1">
  <x:tableColumns count="6">
    <x:tableColumn id="1" name="Metric"/>
    <x:tableColumn id="2" name="2023"/>
    <x:tableColumn id="3" name="2024"/>
    <x:tableColumn id="4" name="2025"/>
    <x:tableColumn id="5" name="Trend"/>
    <x:tableColumn id="6" name="Interpretation"/>
  </x:tableColumns>
  <x:tableStyleInfo name="TableStyleMedium2" showRowStripes="1"/>
</x:table>
</file>

<file path=xl/tables/table5.xml><?xml version="1.0" encoding="utf-8"?>
<x:table xmlns:x="http://schemas.openxmlformats.org/spreadsheetml/2006/main" id="5" name="ComparableMultiples" displayName="ComparableMultiples" ref="A4:F9" headerRowCount="1">
  <x:tableColumns count="6">
    <x:tableColumn id="1" name="Company"/>
    <x:tableColumn id="2" name="Ticker"/>
    <x:tableColumn id="3" name="Business Model Relevance"/>
    <x:tableColumn id="4" name="EV/Revenue"/>
    <x:tableColumn id="5" name="P/E"/>
    <x:tableColumn id="6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SourceList" displayName="SourceList" ref="A4:E8" headerRowCount="1">
  <x:tableColumns count="5">
    <x:tableColumn id="1" name="Topic"/>
    <x:tableColumn id="2" name="Source"/>
    <x:tableColumn id="3" name="URL"/>
    <x:tableColumn id="4" name="Used For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9ec31eb21c47a5" /><Relationship Type="http://schemas.openxmlformats.org/officeDocument/2006/relationships/table" Target="/xl/tables/table2.xml" Id="R872fc8ddcd6c482e" /><Relationship Type="http://schemas.openxmlformats.org/officeDocument/2006/relationships/table" Target="/xl/tables/table3.xml" Id="Re36c44e32e584a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3fafac2c68f14f2c" /><Relationship Type="http://schemas.openxmlformats.org/officeDocument/2006/relationships/table" Target="/xl/tables/table4.xml" Id="Rb085a0e25a2248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7a0ac1551b814a3d" /><Relationship Type="http://schemas.openxmlformats.org/officeDocument/2006/relationships/table" Target="/xl/tables/table5.xml" Id="R3a12b7bcdcee44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93b7fd19273946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703c89714a749d0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104" t="str">
        <x:v>Investment Valuation &amp; Financial Statement Analysis</x:v>
      </x:c>
      <x:c r="B1" s="105"/>
      <x:c r="C1" s="105"/>
      <x:c r="D1" s="105"/>
      <x:c r="E1" s="105"/>
      <x:c r="F1" s="105"/>
      <x:c r="G1" s="105"/>
      <x:c r="H1" s="105"/>
      <x:c r="I1" s="105"/>
      <x:c r="J1" s="105"/>
      <x:c r="K1" s="105"/>
      <x:c r="L1" s="105"/>
      <x:c r="M1" s="105"/>
      <x:c r="N1" s="105"/>
      <x:c r="O1" s="105"/>
      <x:c r="P1" s="105"/>
      <x:c r="Q1" s="105"/>
      <x:c r="R1" s="105"/>
      <x:c r="S1" s="105"/>
      <x:c r="T1" s="105"/>
      <x:c r="U1" s="105"/>
      <x:c r="V1" s="105"/>
      <x:c r="W1" s="105"/>
      <x:c r="X1" s="105"/>
      <x:c r="Y1" s="105"/>
      <x:c r="Z1" s="105"/>
    </x:row>
    <x:row r="2">
      <x:c r="A2" s="10" t="str">
        <x:v>Prepared by Ben Levy | Apple Inc. (AAPL) Student Finance Project | May 2026</x:v>
      </x:c>
    </x:row>
    <x:row r="4">
      <x:c r="A4" s="15" t="str">
        <x:v>Project objective</x:v>
      </x:c>
      <x:c r="B4" s="19" t="str">
        <x:v>Complete a clean valuation project using SEC financial statement data, revenue growth assumptions, operating margin analysis, cash-flow forecasting, DCF methodology, and comparable company multiples.</x:v>
      </x:c>
    </x:row>
    <x:row r="5">
      <x:c r="A5" s="15" t="str">
        <x:v>Resume match</x:v>
      </x:c>
      <x:c r="B5" s="19" t="str">
        <x:v>Matches Ben Levy resume project: company valuation research, revenue growth assumptions, operating margin analysis, cash-flow forecasting, DCF methodology, comparable company multiples, profitability, liquidity, leverage, and market risk trends.</x:v>
      </x:c>
    </x:row>
    <x:row r="6">
      <x:c r="A6" s="15" t="str">
        <x:v>Company selected</x:v>
      </x:c>
      <x:c r="B6" s="19" t="str">
        <x:v>Apple Inc. (AAPL) was selected because it is a widely followed public company with readily available SEC filings, a strong brand, large cash flow base, and clear product/service segments.</x:v>
      </x:c>
    </x:row>
    <x:row r="7">
      <x:c r="A7" s="15" t="str">
        <x:v>How to use</x:v>
      </x:c>
      <x:c r="B7" s="19" t="str">
        <x:v>Review source data, ratio output, DCF assumptions, comparable company multiples, and the investment summary. Update blue cells for current market price or revised assumptions.</x:v>
      </x:c>
    </x:row>
    <x:row r="8">
      <x:c r="A8" s="15" t="str">
        <x:v>Color key</x:v>
      </x:c>
      <x:c r="B8" s="19" t="str">
        <x:v>Blue text = hardcoded model inputs. Black text = formulas. Green text = values linked from other sheets. Yellow fill = assumptions to review.</x:v>
      </x:c>
    </x:row>
    <x:row r="9">
      <x:c r="A9" s="15" t="str">
        <x:v>Proof of completion</x:v>
      </x:c>
      <x:c r="B9" s="19" t="str">
        <x:v>Workbook includes sourced financial statements, ratio analysis, DCF model, comparable multiple valuation, risk summary, and investment-ready output marked with Ben Levy.</x:v>
      </x:c>
    </x:row>
    <x:row r="12">
      <x:c r="A12" s="25" t="str">
        <x:v>Sheet</x:v>
      </x:c>
      <x:c r="B12" s="25" t="str">
        <x:v>Purpose</x:v>
      </x:c>
    </x:row>
    <x:row r="13">
      <x:c r="A13" t="str">
        <x:v>Source Data</x:v>
      </x:c>
      <x:c r="B13" t="str">
        <x:v>SEC financial statement inputs from Apple's 2025 Form 10-K.</x:v>
      </x:c>
    </x:row>
    <x:row r="14">
      <x:c r="A14" t="str">
        <x:v>Financial Analysis</x:v>
      </x:c>
      <x:c r="B14" t="str">
        <x:v>Profitability, growth, liquidity, leverage, and cash-flow ratio analysis.</x:v>
      </x:c>
    </x:row>
    <x:row r="15">
      <x:c r="A15" t="str">
        <x:v>DCF Model</x:v>
      </x:c>
      <x:c r="B15" t="str">
        <x:v>Forecasted unlevered free cash flow, terminal value, enterprise value, equity value, and implied value per share.</x:v>
      </x:c>
    </x:row>
    <x:row r="16">
      <x:c r="A16" t="str">
        <x:v>Comps</x:v>
      </x:c>
      <x:c r="B16" t="str">
        <x:v>Comparable company valuation using EV/Revenue and P/E multiple methodology.</x:v>
      </x:c>
    </x:row>
    <x:row r="17">
      <x:c r="A17" t="str">
        <x:v>Investment Summary</x:v>
      </x:c>
      <x:c r="B17" t="str">
        <x:v>Presentation-ready summary of output, considerations, risks, and recommendation framing.</x:v>
      </x:c>
    </x:row>
    <x:row r="18">
      <x:c r="A18" t="str">
        <x:v>Sources</x:v>
      </x:c>
      <x:c r="B18" t="str">
        <x:v>Source URLs and notes.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24" hidden="0" customWidth="1"/>
    <x:col min="7" max="7" width="16" hidden="0" customWidth="1"/>
    <x:col min="8" max="8" width="28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110" t="str">
        <x:v>Apple Inc. Source Data</x:v>
      </x:c>
      <x:c r="B1" s="105"/>
      <x:c r="C1" s="105"/>
      <x:c r="D1" s="105"/>
      <x:c r="E1" s="105"/>
      <x:c r="F1" s="105"/>
      <x:c r="G1" s="105"/>
      <x:c r="H1" s="105"/>
      <x:c r="I1" s="105"/>
      <x:c r="J1" s="105"/>
      <x:c r="K1" s="105"/>
      <x:c r="L1" s="105"/>
      <x:c r="M1" s="105"/>
      <x:c r="N1" s="105"/>
      <x:c r="O1" s="105"/>
      <x:c r="P1" s="105"/>
      <x:c r="Q1" s="105"/>
      <x:c r="R1" s="105"/>
      <x:c r="S1" s="105"/>
      <x:c r="T1" s="105"/>
      <x:c r="U1" s="105"/>
      <x:c r="V1" s="105"/>
      <x:c r="W1" s="105"/>
      <x:c r="X1" s="105"/>
      <x:c r="Y1" s="105"/>
      <x:c r="Z1" s="105"/>
    </x:row>
    <x:row r="2">
      <x:c r="A2" s="10" t="str">
        <x:v>Prepared by Ben Levy | Historical financials in $mm except shares and EPS | Source: Apple 2025 Form 10-K</x:v>
      </x:c>
    </x:row>
    <x:row r="4">
      <x:c r="A4" s="25" t="str">
        <x:v>Income Statement ($mm)</x:v>
      </x:c>
      <x:c r="B4" s="25" t="str">
        <x:v>2023</x:v>
      </x:c>
      <x:c r="C4" s="25" t="str">
        <x:v>2024</x:v>
      </x:c>
      <x:c r="D4" s="25" t="str">
        <x:v>2025</x:v>
      </x:c>
      <x:c r="E4" s="25" t="str">
        <x:v>Source</x:v>
      </x:c>
      <x:c r="F4" s="25" t="str">
        <x:v>Notes</x:v>
      </x:c>
      <x:c r="H4" s="25" t="str">
        <x:v>Balance Sheet ($mm)</x:v>
      </x:c>
      <x:c r="I4" s="25" t="str">
        <x:v>2024</x:v>
      </x:c>
      <x:c r="J4" s="25" t="str">
        <x:v>2025</x:v>
      </x:c>
      <x:c r="K4" s="25" t="str">
        <x:v>Source</x:v>
      </x:c>
      <x:c r="L4" s="25" t="str">
        <x:v>Notes</x:v>
      </x:c>
    </x:row>
    <x:row r="5">
      <x:c r="A5" t="str">
        <x:v>Products Revenue</x:v>
      </x:c>
      <x:c r="B5" s="36" t="n">
        <x:v>298085</x:v>
      </x:c>
      <x:c r="C5" s="36" t="n">
        <x:v>294866</x:v>
      </x:c>
      <x:c r="D5" s="36" t="n">
        <x:v>307003</x:v>
      </x:c>
      <x:c r="E5" t="str">
        <x:v>Apple FY2025 Form 10-K</x:v>
      </x:c>
      <x:c r="F5" t="str">
        <x:v>Consolidated Statements of Operations</x:v>
      </x:c>
      <x:c r="H5" t="str">
        <x:v>Cash and Cash Equivalents</x:v>
      </x:c>
      <x:c r="I5" s="36" t="n">
        <x:v>29943</x:v>
      </x:c>
      <x:c r="J5" s="36" t="n">
        <x:v>35934</x:v>
      </x:c>
      <x:c r="K5" t="str">
        <x:v>Apple FY2025 Form 10-K</x:v>
      </x:c>
      <x:c r="L5" t="str">
        <x:v>Consolidated Balance Sheets</x:v>
      </x:c>
    </x:row>
    <x:row r="6">
      <x:c r="A6" t="str">
        <x:v>Services Revenue</x:v>
      </x:c>
      <x:c r="B6" s="36" t="n">
        <x:v>85200</x:v>
      </x:c>
      <x:c r="C6" s="36" t="n">
        <x:v>96169</x:v>
      </x:c>
      <x:c r="D6" s="36" t="n">
        <x:v>109158</x:v>
      </x:c>
      <x:c r="E6" t="str">
        <x:v>Apple FY2025 Form 10-K</x:v>
      </x:c>
      <x:c r="F6" t="str">
        <x:v>Consolidated Statements of Operations</x:v>
      </x:c>
      <x:c r="H6" t="str">
        <x:v>Current Marketable Securities</x:v>
      </x:c>
      <x:c r="I6" s="36" t="n">
        <x:v>35228</x:v>
      </x:c>
      <x:c r="J6" s="36" t="n">
        <x:v>18763</x:v>
      </x:c>
      <x:c r="K6" t="str">
        <x:v>Apple FY2025 Form 10-K</x:v>
      </x:c>
      <x:c r="L6" t="str">
        <x:v>Consolidated Balance Sheets</x:v>
      </x:c>
    </x:row>
    <x:row r="7">
      <x:c r="A7" t="str">
        <x:v>Total Net Sales</x:v>
      </x:c>
      <x:c r="B7" s="36" t="n">
        <x:v>383285</x:v>
      </x:c>
      <x:c r="C7" s="36" t="n">
        <x:v>391035</x:v>
      </x:c>
      <x:c r="D7" s="36" t="n">
        <x:v>416161</x:v>
      </x:c>
      <x:c r="E7" t="str">
        <x:v>Apple FY2025 Form 10-K</x:v>
      </x:c>
      <x:c r="F7" t="str">
        <x:v>Consolidated Statements of Operations</x:v>
      </x:c>
      <x:c r="H7" t="str">
        <x:v>Accounts Receivable</x:v>
      </x:c>
      <x:c r="I7" s="36" t="n">
        <x:v>33410</x:v>
      </x:c>
      <x:c r="J7" s="36" t="n">
        <x:v>39777</x:v>
      </x:c>
      <x:c r="K7" t="str">
        <x:v>Apple FY2025 Form 10-K</x:v>
      </x:c>
      <x:c r="L7" t="str">
        <x:v>Consolidated Balance Sheets</x:v>
      </x:c>
    </x:row>
    <x:row r="8">
      <x:c r="A8" t="str">
        <x:v>Products Cost of Sales</x:v>
      </x:c>
      <x:c r="B8" s="36" t="n">
        <x:v>189282</x:v>
      </x:c>
      <x:c r="C8" s="36" t="n">
        <x:v>185233</x:v>
      </x:c>
      <x:c r="D8" s="36" t="n">
        <x:v>194116</x:v>
      </x:c>
      <x:c r="E8" t="str">
        <x:v>Apple FY2025 Form 10-K</x:v>
      </x:c>
      <x:c r="F8" t="str">
        <x:v>Consolidated Statements of Operations</x:v>
      </x:c>
      <x:c r="H8" t="str">
        <x:v>Inventories</x:v>
      </x:c>
      <x:c r="I8" s="36" t="n">
        <x:v>7286</x:v>
      </x:c>
      <x:c r="J8" s="36" t="n">
        <x:v>5718</x:v>
      </x:c>
      <x:c r="K8" t="str">
        <x:v>Apple FY2025 Form 10-K</x:v>
      </x:c>
      <x:c r="L8" t="str">
        <x:v>Consolidated Balance Sheets</x:v>
      </x:c>
    </x:row>
    <x:row r="9">
      <x:c r="A9" t="str">
        <x:v>Services Cost of Sales</x:v>
      </x:c>
      <x:c r="B9" s="36" t="n">
        <x:v>24855</x:v>
      </x:c>
      <x:c r="C9" s="36" t="n">
        <x:v>25119</x:v>
      </x:c>
      <x:c r="D9" s="36" t="n">
        <x:v>26844</x:v>
      </x:c>
      <x:c r="E9" t="str">
        <x:v>Apple FY2025 Form 10-K</x:v>
      </x:c>
      <x:c r="F9" t="str">
        <x:v>Consolidated Statements of Operations</x:v>
      </x:c>
      <x:c r="H9" t="str">
        <x:v>Other Current Assets</x:v>
      </x:c>
      <x:c r="I9" s="36" t="n">
        <x:v>14287</x:v>
      </x:c>
      <x:c r="J9" s="36" t="n">
        <x:v>14585</x:v>
      </x:c>
      <x:c r="K9" t="str">
        <x:v>Apple FY2025 Form 10-K</x:v>
      </x:c>
      <x:c r="L9" t="str">
        <x:v>Consolidated Balance Sheets</x:v>
      </x:c>
    </x:row>
    <x:row r="10">
      <x:c r="A10" t="str">
        <x:v>Total Cost of Sales</x:v>
      </x:c>
      <x:c r="B10" s="36" t="n">
        <x:v>214137</x:v>
      </x:c>
      <x:c r="C10" s="36" t="n">
        <x:v>210352</x:v>
      </x:c>
      <x:c r="D10" s="36" t="n">
        <x:v>220960</x:v>
      </x:c>
      <x:c r="E10" t="str">
        <x:v>Apple FY2025 Form 10-K</x:v>
      </x:c>
      <x:c r="F10" t="str">
        <x:v>Consolidated Statements of Operations</x:v>
      </x:c>
      <x:c r="H10" t="str">
        <x:v>Total Current Assets</x:v>
      </x:c>
      <x:c r="I10" s="36" t="n">
        <x:v>152987</x:v>
      </x:c>
      <x:c r="J10" s="36" t="n">
        <x:v>147957</x:v>
      </x:c>
      <x:c r="K10" t="str">
        <x:v>Apple FY2025 Form 10-K</x:v>
      </x:c>
      <x:c r="L10" t="str">
        <x:v>Consolidated Balance Sheets</x:v>
      </x:c>
    </x:row>
    <x:row r="11">
      <x:c r="A11" t="str">
        <x:v>Gross Margin</x:v>
      </x:c>
      <x:c r="B11" s="36" t="n">
        <x:v>169148</x:v>
      </x:c>
      <x:c r="C11" s="36" t="n">
        <x:v>180683</x:v>
      </x:c>
      <x:c r="D11" s="36" t="n">
        <x:v>195201</x:v>
      </x:c>
      <x:c r="E11" t="str">
        <x:v>Apple FY2025 Form 10-K</x:v>
      </x:c>
      <x:c r="F11" t="str">
        <x:v>Consolidated Statements of Operations</x:v>
      </x:c>
      <x:c r="H11" t="str">
        <x:v>Noncurrent Marketable Securities</x:v>
      </x:c>
      <x:c r="I11" s="36" t="n">
        <x:v>91479</x:v>
      </x:c>
      <x:c r="J11" s="36" t="n">
        <x:v>77723</x:v>
      </x:c>
      <x:c r="K11" t="str">
        <x:v>Apple FY2025 Form 10-K</x:v>
      </x:c>
      <x:c r="L11" t="str">
        <x:v>Consolidated Balance Sheets</x:v>
      </x:c>
    </x:row>
    <x:row r="12">
      <x:c r="A12" t="str">
        <x:v>Research &amp; Development</x:v>
      </x:c>
      <x:c r="B12" s="36" t="n">
        <x:v>29915</x:v>
      </x:c>
      <x:c r="C12" s="36" t="n">
        <x:v>31370</x:v>
      </x:c>
      <x:c r="D12" s="36" t="n">
        <x:v>34550</x:v>
      </x:c>
      <x:c r="E12" t="str">
        <x:v>Apple FY2025 Form 10-K</x:v>
      </x:c>
      <x:c r="F12" t="str">
        <x:v>Consolidated Statements of Operations</x:v>
      </x:c>
      <x:c r="H12" t="str">
        <x:v>PP&amp;E, Net</x:v>
      </x:c>
      <x:c r="I12" s="36" t="n">
        <x:v>45680</x:v>
      </x:c>
      <x:c r="J12" s="36" t="n">
        <x:v>49834</x:v>
      </x:c>
      <x:c r="K12" t="str">
        <x:v>Apple FY2025 Form 10-K</x:v>
      </x:c>
      <x:c r="L12" t="str">
        <x:v>Consolidated Balance Sheets</x:v>
      </x:c>
    </x:row>
    <x:row r="13">
      <x:c r="A13" t="str">
        <x:v>SG&amp;A</x:v>
      </x:c>
      <x:c r="B13" s="36" t="n">
        <x:v>24932</x:v>
      </x:c>
      <x:c r="C13" s="36" t="n">
        <x:v>26097</x:v>
      </x:c>
      <x:c r="D13" s="36" t="n">
        <x:v>27601</x:v>
      </x:c>
      <x:c r="E13" t="str">
        <x:v>Apple FY2025 Form 10-K</x:v>
      </x:c>
      <x:c r="F13" t="str">
        <x:v>Consolidated Statements of Operations</x:v>
      </x:c>
      <x:c r="H13" t="str">
        <x:v>Other Noncurrent Assets</x:v>
      </x:c>
      <x:c r="I13" s="36" t="n">
        <x:v>74834</x:v>
      </x:c>
      <x:c r="J13" s="36" t="n">
        <x:v>83727</x:v>
      </x:c>
      <x:c r="K13" t="str">
        <x:v>Apple FY2025 Form 10-K</x:v>
      </x:c>
      <x:c r="L13" t="str">
        <x:v>Consolidated Balance Sheets</x:v>
      </x:c>
    </x:row>
    <x:row r="14">
      <x:c r="A14" t="str">
        <x:v>Operating Income</x:v>
      </x:c>
      <x:c r="B14" s="36" t="n">
        <x:v>114301</x:v>
      </x:c>
      <x:c r="C14" s="36" t="n">
        <x:v>123216</x:v>
      </x:c>
      <x:c r="D14" s="36" t="n">
        <x:v>133050</x:v>
      </x:c>
      <x:c r="E14" t="str">
        <x:v>Apple FY2025 Form 10-K</x:v>
      </x:c>
      <x:c r="F14" t="str">
        <x:v>Consolidated Statements of Operations</x:v>
      </x:c>
      <x:c r="H14" t="str">
        <x:v>Total Assets</x:v>
      </x:c>
      <x:c r="I14" s="36" t="n">
        <x:v>364980</x:v>
      </x:c>
      <x:c r="J14" s="36" t="n">
        <x:v>359241</x:v>
      </x:c>
      <x:c r="K14" t="str">
        <x:v>Apple FY2025 Form 10-K</x:v>
      </x:c>
      <x:c r="L14" t="str">
        <x:v>Consolidated Balance Sheets</x:v>
      </x:c>
    </x:row>
    <x:row r="15">
      <x:c r="A15" t="str">
        <x:v>Other Income / (Expense)</x:v>
      </x:c>
      <x:c r="B15" s="36" t="n">
        <x:v>-565</x:v>
      </x:c>
      <x:c r="C15" s="36" t="n">
        <x:v>269</x:v>
      </x:c>
      <x:c r="D15" s="36" t="n">
        <x:v>-321</x:v>
      </x:c>
      <x:c r="E15" t="str">
        <x:v>Apple FY2025 Form 10-K</x:v>
      </x:c>
      <x:c r="F15" t="str">
        <x:v>Consolidated Statements of Operations</x:v>
      </x:c>
      <x:c r="H15" t="str">
        <x:v>Accounts Payable</x:v>
      </x:c>
      <x:c r="I15" s="36" t="n">
        <x:v>68960</x:v>
      </x:c>
      <x:c r="J15" s="36" t="n">
        <x:v>69860</x:v>
      </x:c>
      <x:c r="K15" t="str">
        <x:v>Apple FY2025 Form 10-K</x:v>
      </x:c>
      <x:c r="L15" t="str">
        <x:v>Consolidated Balance Sheets</x:v>
      </x:c>
    </x:row>
    <x:row r="16">
      <x:c r="A16" t="str">
        <x:v>Pre-Tax Income</x:v>
      </x:c>
      <x:c r="B16" s="36" t="n">
        <x:v>113736</x:v>
      </x:c>
      <x:c r="C16" s="36" t="n">
        <x:v>123485</x:v>
      </x:c>
      <x:c r="D16" s="36" t="n">
        <x:v>132729</x:v>
      </x:c>
      <x:c r="E16" t="str">
        <x:v>Apple FY2025 Form 10-K</x:v>
      </x:c>
      <x:c r="F16" t="str">
        <x:v>Consolidated Statements of Operations</x:v>
      </x:c>
      <x:c r="H16" t="str">
        <x:v>Other Current Liabilities</x:v>
      </x:c>
      <x:c r="I16" s="36" t="n">
        <x:v>78304</x:v>
      </x:c>
      <x:c r="J16" s="36" t="n">
        <x:v>66387</x:v>
      </x:c>
      <x:c r="K16" t="str">
        <x:v>Apple FY2025 Form 10-K</x:v>
      </x:c>
      <x:c r="L16" t="str">
        <x:v>Consolidated Balance Sheets</x:v>
      </x:c>
    </x:row>
    <x:row r="17">
      <x:c r="A17" t="str">
        <x:v>Income Tax Expense</x:v>
      </x:c>
      <x:c r="B17" s="36" t="n">
        <x:v>16741</x:v>
      </x:c>
      <x:c r="C17" s="36" t="n">
        <x:v>29749</x:v>
      </x:c>
      <x:c r="D17" s="36" t="n">
        <x:v>20719</x:v>
      </x:c>
      <x:c r="E17" t="str">
        <x:v>Apple FY2025 Form 10-K</x:v>
      </x:c>
      <x:c r="F17" t="str">
        <x:v>Consolidated Statements of Operations</x:v>
      </x:c>
      <x:c r="H17" t="str">
        <x:v>Deferred Revenue</x:v>
      </x:c>
      <x:c r="I17" s="36" t="n">
        <x:v>8249</x:v>
      </x:c>
      <x:c r="J17" s="36" t="n">
        <x:v>9055</x:v>
      </x:c>
      <x:c r="K17" t="str">
        <x:v>Apple FY2025 Form 10-K</x:v>
      </x:c>
      <x:c r="L17" t="str">
        <x:v>Consolidated Balance Sheets</x:v>
      </x:c>
    </x:row>
    <x:row r="18">
      <x:c r="A18" t="str">
        <x:v>Net Income</x:v>
      </x:c>
      <x:c r="B18" s="36" t="n">
        <x:v>96995</x:v>
      </x:c>
      <x:c r="C18" s="36" t="n">
        <x:v>93736</x:v>
      </x:c>
      <x:c r="D18" s="36" t="n">
        <x:v>112010</x:v>
      </x:c>
      <x:c r="E18" t="str">
        <x:v>Apple FY2025 Form 10-K</x:v>
      </x:c>
      <x:c r="F18" t="str">
        <x:v>Consolidated Statements of Operations</x:v>
      </x:c>
      <x:c r="H18" t="str">
        <x:v>Commercial Paper</x:v>
      </x:c>
      <x:c r="I18" s="36" t="n">
        <x:v>9967</x:v>
      </x:c>
      <x:c r="J18" s="36" t="n">
        <x:v>7979</x:v>
      </x:c>
      <x:c r="K18" t="str">
        <x:v>Apple FY2025 Form 10-K</x:v>
      </x:c>
      <x:c r="L18" t="str">
        <x:v>Consolidated Balance Sheets</x:v>
      </x:c>
    </x:row>
    <x:row r="19">
      <x:c r="A19" t="str">
        <x:v>Diluted EPS</x:v>
      </x:c>
      <x:c r="B19" s="38" t="n">
        <x:v>6.13</x:v>
      </x:c>
      <x:c r="C19" s="38" t="n">
        <x:v>6.08</x:v>
      </x:c>
      <x:c r="D19" s="38" t="n">
        <x:v>7.46</x:v>
      </x:c>
      <x:c r="E19" t="str">
        <x:v>Apple FY2025 Form 10-K</x:v>
      </x:c>
      <x:c r="F19" t="str">
        <x:v>Consolidated Statements of Operations</x:v>
      </x:c>
      <x:c r="H19" t="str">
        <x:v>Current Term Debt</x:v>
      </x:c>
      <x:c r="I19" s="36" t="n">
        <x:v>10912</x:v>
      </x:c>
      <x:c r="J19" s="36" t="n">
        <x:v>12350</x:v>
      </x:c>
      <x:c r="K19" t="str">
        <x:v>Apple FY2025 Form 10-K</x:v>
      </x:c>
      <x:c r="L19" t="str">
        <x:v>Consolidated Balance Sheets</x:v>
      </x:c>
    </x:row>
    <x:row r="20">
      <x:c r="A20" t="str">
        <x:v>Diluted Shares (mm)</x:v>
      </x:c>
      <x:c r="B20" s="40" t="n">
        <x:v>15812.547</x:v>
      </x:c>
      <x:c r="C20" s="40" t="n">
        <x:v>15408.095</x:v>
      </x:c>
      <x:c r="D20" s="40" t="n">
        <x:v>15004.697</x:v>
      </x:c>
      <x:c r="E20" t="str">
        <x:v>Apple FY2025 Form 10-K</x:v>
      </x:c>
      <x:c r="F20" t="str">
        <x:v>Consolidated Statements of Operations</x:v>
      </x:c>
      <x:c r="H20" t="str">
        <x:v>Total Current Liabilities</x:v>
      </x:c>
      <x:c r="I20" s="36" t="n">
        <x:v>176392</x:v>
      </x:c>
      <x:c r="J20" s="36" t="n">
        <x:v>165631</x:v>
      </x:c>
      <x:c r="K20" t="str">
        <x:v>Apple FY2025 Form 10-K</x:v>
      </x:c>
      <x:c r="L20" t="str">
        <x:v>Consolidated Balance Sheets</x:v>
      </x:c>
    </x:row>
    <x:row r="21">
      <x:c r="H21" t="str">
        <x:v>Noncurrent Term Debt</x:v>
      </x:c>
      <x:c r="I21" s="36" t="n">
        <x:v>85750</x:v>
      </x:c>
      <x:c r="J21" s="36" t="n">
        <x:v>78328</x:v>
      </x:c>
      <x:c r="K21" t="str">
        <x:v>Apple FY2025 Form 10-K</x:v>
      </x:c>
      <x:c r="L21" t="str">
        <x:v>Consolidated Balance Sheets</x:v>
      </x:c>
    </x:row>
    <x:row r="22">
      <x:c r="H22" t="str">
        <x:v>Other Noncurrent Liabilities</x:v>
      </x:c>
      <x:c r="I22" s="36" t="n">
        <x:v>45888</x:v>
      </x:c>
      <x:c r="J22" s="36" t="n">
        <x:v>41549</x:v>
      </x:c>
      <x:c r="K22" t="str">
        <x:v>Apple FY2025 Form 10-K</x:v>
      </x:c>
      <x:c r="L22" t="str">
        <x:v>Consolidated Balance Sheets</x:v>
      </x:c>
    </x:row>
    <x:row r="23">
      <x:c r="A23" s="25" t="str">
        <x:v>Cash Flow Statement ($mm)</x:v>
      </x:c>
      <x:c r="B23" s="25" t="str">
        <x:v>2023</x:v>
      </x:c>
      <x:c r="C23" s="25" t="str">
        <x:v>2024</x:v>
      </x:c>
      <x:c r="D23" s="25" t="str">
        <x:v>2025</x:v>
      </x:c>
      <x:c r="E23" s="25" t="str">
        <x:v>Source</x:v>
      </x:c>
      <x:c r="F23" s="25" t="str">
        <x:v>Notes</x:v>
      </x:c>
      <x:c r="H23" t="str">
        <x:v>Total Liabilities</x:v>
      </x:c>
      <x:c r="I23" s="36" t="n">
        <x:v>308030</x:v>
      </x:c>
      <x:c r="J23" s="36" t="n">
        <x:v>285508</x:v>
      </x:c>
      <x:c r="K23" t="str">
        <x:v>Apple FY2025 Form 10-K</x:v>
      </x:c>
      <x:c r="L23" t="str">
        <x:v>Consolidated Balance Sheets</x:v>
      </x:c>
    </x:row>
    <x:row r="24">
      <x:c r="A24" t="str">
        <x:v>Cash Generated by Operating Activities</x:v>
      </x:c>
      <x:c r="B24" s="36" t="n">
        <x:v>110543</x:v>
      </x:c>
      <x:c r="C24" s="36" t="n">
        <x:v>118254</x:v>
      </x:c>
      <x:c r="D24" s="36" t="n">
        <x:v>111482</x:v>
      </x:c>
      <x:c r="E24" t="str">
        <x:v>Apple FY2025 Form 10-K</x:v>
      </x:c>
      <x:c r="F24" t="str">
        <x:v>Consolidated Statements of Cash Flows</x:v>
      </x:c>
      <x:c r="H24" t="str">
        <x:v>Total Shareholders' Equity</x:v>
      </x:c>
      <x:c r="I24" s="36" t="n">
        <x:v>56950</x:v>
      </x:c>
      <x:c r="J24" s="36" t="n">
        <x:v>73733</x:v>
      </x:c>
      <x:c r="K24" t="str">
        <x:v>Apple FY2025 Form 10-K</x:v>
      </x:c>
      <x:c r="L24" t="str">
        <x:v>Consolidated Balance Sheets</x:v>
      </x:c>
    </x:row>
    <x:row r="25">
      <x:c r="A25" t="str">
        <x:v>Capital Expenditures</x:v>
      </x:c>
      <x:c r="B25" s="36" t="n">
        <x:v>10959</x:v>
      </x:c>
      <x:c r="C25" s="36" t="n">
        <x:v>9447</x:v>
      </x:c>
      <x:c r="D25" s="36" t="n">
        <x:v>12715</x:v>
      </x:c>
      <x:c r="E25" t="str">
        <x:v>Apple FY2025 Form 10-K</x:v>
      </x:c>
      <x:c r="F25" t="str">
        <x:v>Payments for acquisition of PP&amp;E</x:v>
      </x:c>
    </x:row>
    <x:row r="26">
      <x:c r="A26" t="str">
        <x:v>Free Cash Flow</x:v>
      </x:c>
      <x:c r="B26" s="44" t="n">
        <x:f>B24-B25</x:f>
        <x:v>99584</x:v>
      </x:c>
      <x:c r="C26" s="44" t="n">
        <x:f>C24-C25</x:f>
        <x:v>108807</x:v>
      </x:c>
      <x:c r="D26" s="44" t="n">
        <x:f>D24-D25</x:f>
        <x:v>98767</x:v>
      </x:c>
      <x:c r="E26" t="str">
        <x:v>Calculated</x:v>
      </x:c>
      <x:c r="F26" t="str">
        <x:v>CFO less capex</x:v>
      </x:c>
    </x:row>
    <x:row r="27">
      <x:c r="A27" t="str">
        <x:v>Depreciation &amp; Amortization</x:v>
      </x:c>
      <x:c r="B27" s="36" t="n">
        <x:v>11519</x:v>
      </x:c>
      <x:c r="C27" s="36" t="n">
        <x:v>11445</x:v>
      </x:c>
      <x:c r="D27" s="36" t="n">
        <x:v>11698</x:v>
      </x:c>
      <x:c r="E27" t="str">
        <x:v>Apple FY2025 Form 10-K</x:v>
      </x:c>
      <x:c r="F27" t="str">
        <x:v>Consolidated Statements of Cash Flows</x:v>
      </x:c>
    </x:row>
    <x:row r="28">
      <x:c r="A28" t="str">
        <x:v>Share Repurchases</x:v>
      </x:c>
      <x:c r="B28" s="36" t="n">
        <x:v>77550</x:v>
      </x:c>
      <x:c r="C28" s="36" t="n">
        <x:v>94949</x:v>
      </x:c>
      <x:c r="D28" s="36" t="n">
        <x:v>90711</x:v>
      </x:c>
      <x:c r="E28" t="str">
        <x:v>Apple FY2025 Form 10-K</x:v>
      </x:c>
      <x:c r="F28" t="str">
        <x:v>Cash used in financing activities</x:v>
      </x:c>
    </x:row>
  </x:sheetData>
  <x:mergeCells>
    <x:mergeCell ref="A1:F1"/>
    <x:mergeCell ref="A2:F2"/>
  </x:mergeCells>
  <x:pageMargins left="0.7" right="0.7" top="0.75" bottom="0.75" header="0.3" footer="0.3"/>
  <x:tableParts count="3">
    <x:tablePart xmlns:r="http://schemas.openxmlformats.org/officeDocument/2006/relationships" r:id="Rff9ec31eb21c47a5"/>
    <x:tablePart xmlns:r="http://schemas.openxmlformats.org/officeDocument/2006/relationships" r:id="R872fc8ddcd6c482e"/>
    <x:tablePart xmlns:r="http://schemas.openxmlformats.org/officeDocument/2006/relationships" r:id="Re36c44e32e584a9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55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110" t="str">
        <x:v>Apple Inc. Financial Statement Analysis</x:v>
      </x:c>
      <x:c r="B1" s="105"/>
      <x:c r="C1" s="105"/>
      <x:c r="D1" s="105"/>
      <x:c r="E1" s="105"/>
      <x:c r="F1" s="105"/>
      <x:c r="G1" s="105"/>
      <x:c r="H1" s="105"/>
      <x:c r="I1" s="105"/>
      <x:c r="J1" s="105"/>
      <x:c r="K1" s="105"/>
      <x:c r="L1" s="105"/>
      <x:c r="M1" s="105"/>
      <x:c r="N1" s="105"/>
      <x:c r="O1" s="105"/>
      <x:c r="P1" s="105"/>
      <x:c r="Q1" s="105"/>
      <x:c r="R1" s="105"/>
      <x:c r="S1" s="105"/>
      <x:c r="T1" s="105"/>
      <x:c r="U1" s="105"/>
      <x:c r="V1" s="105"/>
      <x:c r="W1" s="105"/>
      <x:c r="X1" s="105"/>
      <x:c r="Y1" s="105"/>
      <x:c r="Z1" s="105"/>
    </x:row>
    <x:row r="2">
      <x:c r="A2" s="10" t="str">
        <x:v>Prepared by Ben Levy | Profitability, growth, liquidity, leverage, and cash-flow quality</x:v>
      </x:c>
    </x:row>
    <x:row r="4">
      <x:c r="A4" s="25" t="str">
        <x:v>Metric</x:v>
      </x:c>
      <x:c r="B4" s="25" t="str">
        <x:v>2023</x:v>
      </x:c>
      <x:c r="C4" s="25" t="str">
        <x:v>2024</x:v>
      </x:c>
      <x:c r="D4" s="25" t="str">
        <x:v>2025</x:v>
      </x:c>
      <x:c r="E4" s="25" t="str">
        <x:v>Trend</x:v>
      </x:c>
      <x:c r="F4" s="25" t="str">
        <x:v>Interpretation</x:v>
      </x:c>
    </x:row>
    <x:row r="5">
      <x:c r="A5" s="46" t="str">
        <x:v>Revenue Growth</x:v>
      </x:c>
      <x:c r="B5" s="48"/>
      <x:c r="C5" s="48" t="n">
        <x:f>('Source Data'!C7/'Source Data'!B7)-1</x:f>
        <x:v>0.02021994077514111</x:v>
      </x:c>
      <x:c r="D5" s="48" t="n">
        <x:f>('Source Data'!D7/'Source Data'!C7)-1</x:f>
        <x:v>0.06425511782832749</x:v>
      </x:c>
      <x:c r="E5" t="str">
        <x:f>IF(D5&gt;C5,"Improving","Slowing")</x:f>
        <x:v>Improving</x:v>
      </x:c>
      <x:c r="F5" s="18" t="str">
        <x:v>Sales accelerated in FY2025 compared with FY2024.</x:v>
      </x:c>
    </x:row>
    <x:row r="6">
      <x:c r="A6" s="46" t="str">
        <x:v>Gross Margin %</x:v>
      </x:c>
      <x:c r="B6" s="48" t="n">
        <x:f>'Source Data'!B11/'Source Data'!B7</x:f>
        <x:v>0.4413112957720756</x:v>
      </x:c>
      <x:c r="C6" s="48" t="n">
        <x:f>'Source Data'!C11/'Source Data'!C7</x:f>
        <x:v>0.4620634981523393</x:v>
      </x:c>
      <x:c r="D6" s="48" t="n">
        <x:f>'Source Data'!D11/'Source Data'!D7</x:f>
        <x:v>0.4690516410716045</x:v>
      </x:c>
      <x:c r="E6" t="str">
        <x:f>IF(D6&gt;C6,"Improving","Declining")</x:f>
        <x:v>Improving</x:v>
      </x:c>
      <x:c r="F6" s="18" t="str">
        <x:v>Measures profitability after product/service cost of sales.</x:v>
      </x:c>
    </x:row>
    <x:row r="7">
      <x:c r="A7" s="46" t="str">
        <x:v>Operating Margin %</x:v>
      </x:c>
      <x:c r="B7" s="48" t="n">
        <x:f>'Source Data'!B14/'Source Data'!B7</x:f>
        <x:v>0.2982141226502472</x:v>
      </x:c>
      <x:c r="C7" s="48" t="n">
        <x:f>'Source Data'!C14/'Source Data'!C7</x:f>
        <x:v>0.31510222870075566</x:v>
      </x:c>
      <x:c r="D7" s="48" t="n">
        <x:f>'Source Data'!D14/'Source Data'!D7</x:f>
        <x:v>0.31970799762591884</x:v>
      </x:c>
      <x:c r="E7" t="str">
        <x:f>IF(D7&gt;C7,"Improving","Declining")</x:f>
        <x:v>Improving</x:v>
      </x:c>
      <x:c r="F7" s="18" t="str">
        <x:v>Operating income remains strong due to scale and services margin.</x:v>
      </x:c>
    </x:row>
    <x:row r="8">
      <x:c r="A8" s="46" t="str">
        <x:v>Net Income Margin %</x:v>
      </x:c>
      <x:c r="B8" s="48" t="n">
        <x:f>'Source Data'!B18/'Source Data'!B7</x:f>
        <x:v>0.2530623426432028</x:v>
      </x:c>
      <x:c r="C8" s="48" t="n">
        <x:f>'Source Data'!C18/'Source Data'!C7</x:f>
        <x:v>0.23971255769943867</x:v>
      </x:c>
      <x:c r="D8" s="48" t="n">
        <x:f>'Source Data'!D18/'Source Data'!D7</x:f>
        <x:v>0.2691506412181824</x:v>
      </x:c>
      <x:c r="E8" t="str">
        <x:f>IF(D8&gt;C8,"Improving","Declining")</x:f>
        <x:v>Improving</x:v>
      </x:c>
      <x:c r="F8" s="18" t="str">
        <x:v>Captures profitability after taxes and non-operating items.</x:v>
      </x:c>
    </x:row>
    <x:row r="9">
      <x:c r="A9" s="46" t="str">
        <x:v>Free Cash Flow Margin %</x:v>
      </x:c>
      <x:c r="B9" s="48" t="n">
        <x:f>'Source Data'!B26/'Source Data'!B7</x:f>
        <x:v>0.25981710737440805</x:v>
      </x:c>
      <x:c r="C9" s="48" t="n">
        <x:f>'Source Data'!C26/'Source Data'!C7</x:f>
        <x:v>0.27825386474356517</x:v>
      </x:c>
      <x:c r="D9" s="48" t="n">
        <x:f>'Source Data'!D26/'Source Data'!D7</x:f>
        <x:v>0.23732882225869315</x:v>
      </x:c>
      <x:c r="E9" t="str">
        <x:f>IF(D9&gt;C9,"Improving","Declining")</x:f>
        <x:v>Declining</x:v>
      </x:c>
      <x:c r="F9" s="18" t="str">
        <x:v>Shows ability to convert revenue into cash after capital spending.</x:v>
      </x:c>
    </x:row>
    <x:row r="10">
      <x:c r="A10" s="46" t="str">
        <x:v>Current Ratio</x:v>
      </x:c>
      <x:c r="B10" s="50"/>
      <x:c r="C10" s="50" t="n">
        <x:f>'Source Data'!I10/'Source Data'!I20</x:f>
        <x:v>0.8673125765340832</x:v>
      </x:c>
      <x:c r="D10" s="50" t="n">
        <x:f>'Source Data'!J10/'Source Data'!J20</x:f>
        <x:v>0.8932929222186667</x:v>
      </x:c>
      <x:c r="E10" t="str">
        <x:f>IF(D10&gt;C10,"Improving","Tighter")</x:f>
        <x:v>Improving</x:v>
      </x:c>
      <x:c r="F10" s="18" t="str">
        <x:v>Liquidity ratio; below 1.0 but supported by strong cash generation.</x:v>
      </x:c>
    </x:row>
    <x:row r="11">
      <x:c r="A11" s="46" t="str">
        <x:v>Debt / Equity</x:v>
      </x:c>
      <x:c r="B11" s="50"/>
      <x:c r="C11" s="50" t="n">
        <x:f>('Source Data'!I18+'Source Data'!I19+'Source Data'!I21)/'Source Data'!I24</x:f>
        <x:v>1.872326602282704</x:v>
      </x:c>
      <x:c r="D11" s="50" t="n">
        <x:f>('Source Data'!J18+'Source Data'!J19+'Source Data'!J21)/'Source Data'!J24</x:f>
        <x:v>1.3380304612588665</x:v>
      </x:c>
      <x:c r="E11" t="str">
        <x:f>IF(D11&lt;C11,"Improving","Higher")</x:f>
        <x:v>Improving</x:v>
      </x:c>
      <x:c r="F11" s="18" t="str">
        <x:v>Leverage has decreased from FY2024 to FY2025.</x:v>
      </x:c>
    </x:row>
    <x:row r="12">
      <x:c r="A12" s="46" t="str">
        <x:v>Return on Assets</x:v>
      </x:c>
      <x:c r="B12" s="48"/>
      <x:c r="C12" s="48"/>
      <x:c r="D12" s="48" t="n">
        <x:f>'Source Data'!D18/'Source Data'!J14</x:f>
        <x:v>0.3117962593356549</x:v>
      </x:c>
      <x:c r="E12" t="str">
        <x:v>Strong</x:v>
      </x:c>
      <x:c r="F12" s="18" t="str">
        <x:v>High profitability relative to asset base.</x:v>
      </x:c>
    </x:row>
    <x:row r="13">
      <x:c r="A13" s="46" t="str">
        <x:v>Return on Equity</x:v>
      </x:c>
      <x:c r="B13" s="48"/>
      <x:c r="C13" s="48"/>
      <x:c r="D13" s="48" t="n">
        <x:f>'Source Data'!D18/'Source Data'!J24</x:f>
        <x:v>1.5191298333175105</x:v>
      </x:c>
      <x:c r="E13" t="str">
        <x:v>Strong</x:v>
      </x:c>
      <x:c r="F13" s="18" t="str">
        <x:v>High ROE reflects profitability plus capital return structure.</x:v>
      </x:c>
    </x:row>
    <x:row r="16">
      <x:c r="A16" s="25" t="str">
        <x:v>Year</x:v>
      </x:c>
      <x:c r="B16" s="25" t="str">
        <x:v>Revenue</x:v>
      </x:c>
      <x:c r="C16" s="25" t="str">
        <x:v>Operating Income</x:v>
      </x:c>
      <x:c r="D16" s="25" t="str">
        <x:v>Free Cash Flow</x:v>
      </x:c>
    </x:row>
    <x:row r="17">
      <x:c r="A17" t="n">
        <x:v>2023</x:v>
      </x:c>
      <x:c r="B17" s="52" t="n">
        <x:f>'Source Data'!B7</x:f>
        <x:v>383285</x:v>
      </x:c>
      <x:c r="C17" s="52" t="n">
        <x:f>'Source Data'!B14</x:f>
        <x:v>114301</x:v>
      </x:c>
      <x:c r="D17" s="52" t="n">
        <x:f>'Source Data'!B26</x:f>
        <x:v>99584</x:v>
      </x:c>
    </x:row>
    <x:row r="18">
      <x:c r="A18" t="n">
        <x:v>2024</x:v>
      </x:c>
      <x:c r="B18" s="52" t="n">
        <x:f>'Source Data'!C7</x:f>
        <x:v>391035</x:v>
      </x:c>
      <x:c r="C18" s="52" t="n">
        <x:f>'Source Data'!C14</x:f>
        <x:v>123216</x:v>
      </x:c>
      <x:c r="D18" s="52" t="n">
        <x:f>'Source Data'!C26</x:f>
        <x:v>108807</x:v>
      </x:c>
    </x:row>
    <x:row r="19">
      <x:c r="A19" t="n">
        <x:v>2025</x:v>
      </x:c>
      <x:c r="B19" s="52" t="n">
        <x:f>'Source Data'!D7</x:f>
        <x:v>416161</x:v>
      </x:c>
      <x:c r="C19" s="52" t="n">
        <x:f>'Source Data'!D14</x:f>
        <x:v>133050</x:v>
      </x:c>
      <x:c r="D19" s="52" t="n">
        <x:f>'Source Data'!D26</x:f>
        <x:v>98767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3fafac2c68f14f2c"/>
  <x:tableParts count="1">
    <x:tablePart xmlns:r="http://schemas.openxmlformats.org/officeDocument/2006/relationships" r:id="Rb085a0e25a2248a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110" t="str">
        <x:v>Apple Inc. DCF Model</x:v>
      </x:c>
      <x:c r="B1" s="105"/>
      <x:c r="C1" s="105"/>
      <x:c r="D1" s="105"/>
      <x:c r="E1" s="105"/>
      <x:c r="F1" s="105"/>
      <x:c r="G1" s="105"/>
      <x:c r="H1" s="105"/>
      <x:c r="I1" s="105"/>
      <x:c r="J1" s="105"/>
      <x:c r="K1" s="105"/>
      <x:c r="L1" s="105"/>
      <x:c r="M1" s="105"/>
      <x:c r="N1" s="105"/>
      <x:c r="O1" s="105"/>
      <x:c r="P1" s="105"/>
      <x:c r="Q1" s="105"/>
      <x:c r="R1" s="105"/>
      <x:c r="S1" s="105"/>
      <x:c r="T1" s="105"/>
      <x:c r="U1" s="105"/>
      <x:c r="V1" s="105"/>
      <x:c r="W1" s="105"/>
      <x:c r="X1" s="105"/>
      <x:c r="Y1" s="105"/>
      <x:c r="Z1" s="105"/>
    </x:row>
    <x:row r="2">
      <x:c r="A2" s="10" t="str">
        <x:v>Prepared by Ben Levy | Forecast in $mm except per-share amounts</x:v>
      </x:c>
    </x:row>
    <x:row r="4">
      <x:c r="A4" s="57" t="str">
        <x:v>Key Valuation Assumptions</x:v>
      </x:c>
      <x:c r="J4" s="57" t="str">
        <x:v>DCF Sensitivity - Implied Value / Share</x:v>
      </x:c>
    </x:row>
    <x:row r="5">
      <x:c r="A5" s="46" t="str">
        <x:v>WACC</x:v>
      </x:c>
      <x:c r="B5" s="64" t="n">
        <x:v>0.085</x:v>
      </x:c>
      <x:c r="C5" t="str">
        <x:v>Discount rate assumption</x:v>
      </x:c>
      <x:c r="J5" s="25" t="str">
        <x:v>WACC / g</x:v>
      </x:c>
      <x:c r="K5" s="80" t="n">
        <x:v>0.015</x:v>
      </x:c>
      <x:c r="L5" s="80" t="n">
        <x:v>0.02</x:v>
      </x:c>
      <x:c r="M5" s="80" t="n">
        <x:v>0.025</x:v>
      </x:c>
      <x:c r="N5" s="80" t="n">
        <x:v>0.03</x:v>
      </x:c>
      <x:c r="O5" s="80" t="n">
        <x:v>0.035</x:v>
      </x:c>
    </x:row>
    <x:row r="6">
      <x:c r="A6" s="46" t="str">
        <x:v>Terminal Growth Rate</x:v>
      </x:c>
      <x:c r="B6" s="64" t="n">
        <x:v>0.025</x:v>
      </x:c>
      <x:c r="C6" t="str">
        <x:v>Long-term growth assumption</x:v>
      </x:c>
      <x:c r="J6" s="80" t="n">
        <x:v>0.075</x:v>
      </x:c>
      <x:c r="K6" s="78" t="n">
        <x:f>(SUM(C27:G27)+G25*(1+K$5)/($J6-K$5)/(1+$J6)^5+$B$8)/$B$9</x:f>
        <x:v>138.0029691094881</x:v>
      </x:c>
      <x:c r="L6" s="78" t="n">
        <x:f>(SUM(C27:G27)+G25*(1+L$5)/($J6-L$5)/(1+$J6)^5+$B$8)/$B$9</x:f>
        <x:v>147.99079254566846</x:v>
      </x:c>
      <x:c r="M6" s="78" t="n">
        <x:f>(SUM(C27:G27)+G25*(1+M$5)/($J6-M$5)/(1+$J6)^5+$B$8)/$B$9</x:f>
        <x:v>159.9761806690848</x:v>
      </x:c>
      <x:c r="N6" s="78" t="n">
        <x:f>(SUM(C27:G27)+G25*(1+N$5)/($J6-N$5)/(1+$J6)^5+$B$8)/$B$9</x:f>
        <x:v>174.62498837548267</x:v>
      </x:c>
      <x:c r="O6" s="78" t="n">
        <x:f>(SUM(C27:G27)+G25*(1+O$5)/($J6-O$5)/(1+$J6)^5+$B$8)/$B$9</x:f>
        <x:v>192.9359980084799</x:v>
      </x:c>
    </x:row>
    <x:row r="7">
      <x:c r="A7" s="46" t="str">
        <x:v>Current Reference Price</x:v>
      </x:c>
      <x:c r="B7" s="66" t="n">
        <x:v>250</x:v>
      </x:c>
      <x:c r="C7" t="str">
        <x:v>Editable market price placeholder; update before use</x:v>
      </x:c>
      <x:c r="J7" s="80" t="n">
        <x:v>0.08</x:v>
      </x:c>
      <x:c r="K7" s="78" t="n">
        <x:f>(SUM(C27:G27)+G25*(1+K$5)/($J7-K$5)/(1+$J7)^5+$B$8)/$B$9</x:f>
        <x:v>127.8273210160254</x:v>
      </x:c>
      <x:c r="L7" s="78" t="n">
        <x:f>(SUM(C27:G27)+G25*(1+L$5)/($J7-L$5)/(1+$J7)^5+$B$8)/$B$9</x:f>
        <x:v>136.12313536067268</x:v>
      </x:c>
      <x:c r="M7" s="78" t="n">
        <x:f>(SUM(C27:G27)+G25*(1+M$5)/($J7-M$5)/(1+$J7)^5+$B$8)/$B$9</x:f>
        <x:v>145.92727958616493</x:v>
      </x:c>
      <x:c r="N7" s="78" t="n">
        <x:f>(SUM(C27:G27)+G25*(1+N$5)/($J7-N$5)/(1+$J7)^5+$B$8)/$B$9</x:f>
        <x:v>157.69225265675564</x:v>
      </x:c>
      <x:c r="O7" s="78" t="n">
        <x:f>(SUM(C27:G27)+G25*(1+O$5)/($J7-O$5)/(1+$J7)^5+$B$8)/$B$9</x:f>
        <x:v>172.07166418747764</x:v>
      </x:c>
    </x:row>
    <x:row r="8">
      <x:c r="A8" s="46" t="str">
        <x:v>Net Cash / (Debt)</x:v>
      </x:c>
      <x:c r="B8" s="44" t="n">
        <x:f>SUM('Source Data'!J5:J6)+'Source Data'!J11-('Source Data'!J18+'Source Data'!J19+'Source Data'!J21)</x:f>
        <x:v>33763</x:v>
      </x:c>
      <x:c r="C8" t="str">
        <x:v>Cash + marketable securities less commercial paper and term debt</x:v>
      </x:c>
      <x:c r="J8" s="80" t="n">
        <x:v>0.085</x:v>
      </x:c>
      <x:c r="K8" s="78" t="n">
        <x:f>(SUM(C27:G27)+G25*(1+K$5)/($J8-K$5)/(1+$J8)^5+$B$8)/$B$9</x:f>
        <x:v>119.16120389928743</x:v>
      </x:c>
      <x:c r="L8" s="78" t="n">
        <x:f>(SUM(C27:G27)+G25*(1+L$5)/($J8-L$5)/(1+$J8)^5+$B$8)/$B$9</x:f>
        <x:v>126.14173238731067</x:v>
      </x:c>
      <x:c r="M8" s="78" t="n">
        <x:f>(SUM(C27:G27)+G25*(1+M$5)/($J8-M$5)/(1+$J8)^5+$B$8)/$B$9</x:f>
        <x:v>134.28568229000442</x:v>
      </x:c>
      <x:c r="N8" s="78" t="n">
        <x:f>(SUM(C27:G27)+G25*(1+N$5)/($J8-N$5)/(1+$J8)^5+$B$8)/$B$9</x:f>
        <x:v>143.91035035682432</x:v>
      </x:c>
      <x:c r="O8" s="78" t="n">
        <x:f>(SUM(C27:G27)+G25*(1+O$5)/($J8-O$5)/(1+$J8)^5+$B$8)/$B$9</x:f>
        <x:v>155.45995203700824</x:v>
      </x:c>
    </x:row>
    <x:row r="9">
      <x:c r="A9" s="46" t="str">
        <x:v>Diluted Shares (mm)</x:v>
      </x:c>
      <x:c r="B9" s="68" t="n">
        <x:f>'Source Data'!D20</x:f>
        <x:v>15004.697</x:v>
      </x:c>
      <x:c r="C9" t="str">
        <x:v>FY2025 diluted share count</x:v>
      </x:c>
      <x:c r="J9" s="80" t="n">
        <x:v>0.09</x:v>
      </x:c>
      <x:c r="K9" s="78" t="n">
        <x:f>(SUM(C27:G27)+G25*(1+K$5)/($J9-K$5)/(1+$J9)^5+$B$8)/$B$9</x:f>
        <x:v>111.70105257729423</x:v>
      </x:c>
      <x:c r="L9" s="78" t="n">
        <x:f>(SUM(C27:G27)+G25*(1+L$5)/($J9-L$5)/(1+$J9)^5+$B$8)/$B$9</x:f>
        <x:v>117.64060005275046</x:v>
      </x:c>
      <x:c r="M9" s="78" t="n">
        <x:f>(SUM(C27:G27)+G25*(1+M$5)/($J9-M$5)/(1+$J9)^5+$B$8)/$B$9</x:f>
        <x:v>124.49392406289229</x:v>
      </x:c>
      <x:c r="N9" s="78" t="n">
        <x:f>(SUM(C27:G27)+G25*(1+N$5)/($J9-N$5)/(1+$J9)^5+$B$8)/$B$9</x:f>
        <x:v>132.4894687413911</x:v>
      </x:c>
      <x:c r="O9" s="78" t="n">
        <x:f>(SUM(C27:G27)+G25*(1+O$5)/($J9-O$5)/(1+$J9)^5+$B$8)/$B$9</x:f>
        <x:v>141.93874881598063</x:v>
      </x:c>
    </x:row>
    <x:row r="10">
      <x:c r="J10" s="80" t="n">
        <x:v>0.095</x:v>
      </x:c>
      <x:c r="K10" s="78" t="n">
        <x:f>(SUM(C27:G27)+G25*(1+K$5)/($J10-K$5)/(1+$J10)^5+$B$8)/$B$9</x:f>
        <x:v>105.21924946049049</x:v>
      </x:c>
      <x:c r="L10" s="78" t="n">
        <x:f>(SUM(C27:G27)+G25*(1+L$5)/($J10-L$5)/(1+$J10)^5+$B$8)/$B$9</x:f>
        <x:v>110.32207741612024</x:v>
      </x:c>
      <x:c r="M10" s="78" t="n">
        <x:f>(SUM(C27:G27)+G25*(1+M$5)/($J10-M$5)/(1+$J10)^5+$B$8)/$B$9</x:f>
        <x:v>116.15388079398281</x:v>
      </x:c>
      <x:c r="N10" s="78" t="n">
        <x:f>(SUM(C27:G27)+G25*(1+N$5)/($J10-N$5)/(1+$J10)^5+$B$8)/$B$9</x:f>
        <x:v>122.88288469151654</x:v>
      </x:c>
      <x:c r="O10" s="78" t="n">
        <x:f>(SUM(C27:G27)+G25*(1+O$5)/($J10-O$5)/(1+$J10)^5+$B$8)/$B$9</x:f>
        <x:v>130.73338923863923</x:v>
      </x:c>
    </x:row>
    <x:row r="12">
      <x:c r="A12" s="25" t="str">
        <x:v>DCF Forecast</x:v>
      </x:c>
      <x:c r="B12" s="25" t="str">
        <x:v>2025A</x:v>
      </x:c>
      <x:c r="C12" s="25" t="str">
        <x:v>2026E</x:v>
      </x:c>
      <x:c r="D12" s="25" t="str">
        <x:v>2027E</x:v>
      </x:c>
      <x:c r="E12" s="25" t="str">
        <x:v>2028E</x:v>
      </x:c>
      <x:c r="F12" s="25" t="str">
        <x:v>2029E</x:v>
      </x:c>
      <x:c r="G12" s="25" t="str">
        <x:v>2030E</x:v>
      </x:c>
      <x:c r="H12" s="25" t="str">
        <x:v>Terminal</x:v>
      </x:c>
    </x:row>
    <x:row r="13">
      <x:c r="A13" s="46" t="str">
        <x:v>Revenue</x:v>
      </x:c>
      <x:c r="B13" s="44" t="n">
        <x:f>'Source Data'!D7</x:f>
        <x:v>416161</x:v>
      </x:c>
      <x:c r="C13" s="44" t="n">
        <x:f>B13*(1+C14)</x:f>
        <x:v>436969.05000000005</x:v>
      </x:c>
      <x:c r="D13" s="44" t="n">
        <x:f>C13*(1+D14)</x:f>
        <x:v>456632.65725</x:v>
      </x:c>
      <x:c r="E13" s="44" t="n">
        <x:f>D13*(1+E14)</x:f>
        <x:v>474897.96354</x:v>
      </x:c>
      <x:c r="F13" s="44" t="n">
        <x:f>E13*(1+F14)</x:f>
        <x:v>491519.39226389996</x:v>
      </x:c>
      <x:c r="G13" s="44" t="n">
        <x:f>F13*(1+G14)</x:f>
        <x:v>506264.974031817</x:v>
      </x:c>
      <x:c r="H13" s="52" t="str"/>
    </x:row>
    <x:row r="14">
      <x:c r="A14" s="46" t="str">
        <x:v>Revenue Growth</x:v>
      </x:c>
      <x:c r="B14" s="70"/>
      <x:c r="C14" s="64" t="n">
        <x:v>0.05</x:v>
      </x:c>
      <x:c r="D14" s="64" t="n">
        <x:v>0.045</x:v>
      </x:c>
      <x:c r="E14" s="64" t="n">
        <x:v>0.04</x:v>
      </x:c>
      <x:c r="F14" s="64" t="n">
        <x:v>0.035</x:v>
      </x:c>
      <x:c r="G14" s="64" t="n">
        <x:v>0.03</x:v>
      </x:c>
      <x:c r="H14" s="70" t="str"/>
    </x:row>
    <x:row r="15">
      <x:c r="A15" s="46" t="str">
        <x:v>Operating Margin</x:v>
      </x:c>
      <x:c r="B15" s="48" t="n">
        <x:f>'Source Data'!D14/'Source Data'!D7</x:f>
        <x:v>0.31970799762591884</x:v>
      </x:c>
      <x:c r="C15" s="64" t="n">
        <x:v>0.32</x:v>
      </x:c>
      <x:c r="D15" s="64" t="n">
        <x:v>0.321</x:v>
      </x:c>
      <x:c r="E15" s="64" t="n">
        <x:v>0.322</x:v>
      </x:c>
      <x:c r="F15" s="64" t="n">
        <x:v>0.323</x:v>
      </x:c>
      <x:c r="G15" s="64" t="n">
        <x:v>0.324</x:v>
      </x:c>
      <x:c r="H15" s="70" t="str"/>
    </x:row>
    <x:row r="16">
      <x:c r="A16" s="46" t="str">
        <x:v>Operating Income</x:v>
      </x:c>
      <x:c r="B16" s="44" t="n">
        <x:f>B13*B15</x:f>
        <x:v>133050</x:v>
      </x:c>
      <x:c r="C16" s="44" t="n">
        <x:f>C13*C15</x:f>
        <x:v>139830.09600000002</x:v>
      </x:c>
      <x:c r="D16" s="44" t="n">
        <x:f>D13*D15</x:f>
        <x:v>146579.08297725</x:v>
      </x:c>
      <x:c r="E16" s="44" t="n">
        <x:f>E13*E15</x:f>
        <x:v>152917.14425988</x:v>
      </x:c>
      <x:c r="F16" s="44" t="n">
        <x:f>F13*F15</x:f>
        <x:v>158760.7637012397</x:v>
      </x:c>
      <x:c r="G16" s="44" t="n">
        <x:f>G13*G15</x:f>
        <x:v>164029.8515863087</x:v>
      </x:c>
      <x:c r="H16" s="52" t="str"/>
    </x:row>
    <x:row r="17">
      <x:c r="A17" s="46" t="str">
        <x:v>Tax Rate</x:v>
      </x:c>
      <x:c r="B17" s="48" t="n">
        <x:f>'Source Data'!D17/'Source Data'!D16</x:f>
        <x:v>0.15610002335586043</x:v>
      </x:c>
      <x:c r="C17" s="64" t="n">
        <x:v>0.185</x:v>
      </x:c>
      <x:c r="D17" s="64" t="n">
        <x:v>0.185</x:v>
      </x:c>
      <x:c r="E17" s="64" t="n">
        <x:v>0.185</x:v>
      </x:c>
      <x:c r="F17" s="64" t="n">
        <x:v>0.185</x:v>
      </x:c>
      <x:c r="G17" s="64" t="n">
        <x:v>0.185</x:v>
      </x:c>
      <x:c r="H17" s="70" t="str"/>
    </x:row>
    <x:row r="18">
      <x:c r="A18" s="46" t="str">
        <x:v>NOPAT</x:v>
      </x:c>
      <x:c r="B18" s="44" t="n">
        <x:f>B16*(1-B17)</x:f>
        <x:v>112280.89189250277</x:v>
      </x:c>
      <x:c r="C18" s="44" t="n">
        <x:f>C16*(1-C17)</x:f>
        <x:v>113961.52824000001</x:v>
      </x:c>
      <x:c r="D18" s="44" t="n">
        <x:f>D16*(1-D17)</x:f>
        <x:v>119461.95262645873</x:v>
      </x:c>
      <x:c r="E18" s="44" t="n">
        <x:f>E16*(1-E17)</x:f>
        <x:v>124627.4725718022</x:v>
      </x:c>
      <x:c r="F18" s="44" t="n">
        <x:f>F16*(1-F17)</x:f>
        <x:v>129390.02241651034</x:v>
      </x:c>
      <x:c r="G18" s="44" t="n">
        <x:f>G16*(1-G17)</x:f>
        <x:v>133684.3290428416</x:v>
      </x:c>
      <x:c r="H18" s="52" t="str"/>
    </x:row>
    <x:row r="19">
      <x:c r="A19" s="46" t="str">
        <x:v>D&amp;A % Revenue</x:v>
      </x:c>
      <x:c r="B19" s="48" t="n">
        <x:f>'Source Data'!D27/'Source Data'!D7</x:f>
        <x:v>0.028109313462818475</x:v>
      </x:c>
      <x:c r="C19" s="64" t="n">
        <x:v>0.028</x:v>
      </x:c>
      <x:c r="D19" s="64" t="n">
        <x:v>0.028</x:v>
      </x:c>
      <x:c r="E19" s="64" t="n">
        <x:v>0.028</x:v>
      </x:c>
      <x:c r="F19" s="64" t="n">
        <x:v>0.028</x:v>
      </x:c>
      <x:c r="G19" s="64" t="n">
        <x:v>0.028</x:v>
      </x:c>
      <x:c r="H19" s="70" t="str"/>
    </x:row>
    <x:row r="20">
      <x:c r="A20" s="46" t="str">
        <x:v>D&amp;A</x:v>
      </x:c>
      <x:c r="B20" s="44" t="n">
        <x:f>B13*B19</x:f>
        <x:v>11698</x:v>
      </x:c>
      <x:c r="C20" s="44" t="n">
        <x:f>C13*C19</x:f>
        <x:v>12235.133400000002</x:v>
      </x:c>
      <x:c r="D20" s="44" t="n">
        <x:f>D13*D19</x:f>
        <x:v>12785.714403</x:v>
      </x:c>
      <x:c r="E20" s="44" t="n">
        <x:f>E13*E19</x:f>
        <x:v>13297.14297912</x:v>
      </x:c>
      <x:c r="F20" s="44" t="n">
        <x:f>F13*F19</x:f>
        <x:v>13762.5429833892</x:v>
      </x:c>
      <x:c r="G20" s="44" t="n">
        <x:f>G13*G19</x:f>
        <x:v>14175.419272890877</x:v>
      </x:c>
      <x:c r="H20" s="52" t="str"/>
    </x:row>
    <x:row r="21">
      <x:c r="A21" s="46" t="str">
        <x:v>CapEx % Revenue</x:v>
      </x:c>
      <x:c r="B21" s="48" t="n">
        <x:f>'Source Data'!D25/'Source Data'!D7</x:f>
        <x:v>0.030553079216937677</x:v>
      </x:c>
      <x:c r="C21" s="64" t="n">
        <x:v>0.031</x:v>
      </x:c>
      <x:c r="D21" s="64" t="n">
        <x:v>0.031</x:v>
      </x:c>
      <x:c r="E21" s="64" t="n">
        <x:v>0.031</x:v>
      </x:c>
      <x:c r="F21" s="64" t="n">
        <x:v>0.031</x:v>
      </x:c>
      <x:c r="G21" s="64" t="n">
        <x:v>0.031</x:v>
      </x:c>
      <x:c r="H21" s="70" t="str"/>
    </x:row>
    <x:row r="22">
      <x:c r="A22" s="46" t="str">
        <x:v>CapEx</x:v>
      </x:c>
      <x:c r="B22" s="48" t="n">
        <x:f>B13*B21</x:f>
        <x:v>12715</x:v>
      </x:c>
      <x:c r="C22" s="48" t="n">
        <x:f>C13*C21</x:f>
        <x:v>13546.040550000002</x:v>
      </x:c>
      <x:c r="D22" s="48" t="n">
        <x:f>D13*D21</x:f>
        <x:v>14155.612374749999</x:v>
      </x:c>
      <x:c r="E22" s="48" t="n">
        <x:f>E13*E21</x:f>
        <x:v>14721.83686974</x:v>
      </x:c>
      <x:c r="F22" s="48" t="n">
        <x:f>F13*F21</x:f>
        <x:v>15237.101160180899</x:v>
      </x:c>
      <x:c r="G22" s="48" t="n">
        <x:f>G13*G21</x:f>
        <x:v>15694.214194986327</x:v>
      </x:c>
      <x:c r="H22" s="70" t="str"/>
    </x:row>
    <x:row r="23">
      <x:c r="A23" s="46" t="str">
        <x:v>NWC % of Revenue Growth</x:v>
      </x:c>
      <x:c r="B23" s="70" t="str"/>
      <x:c r="C23" s="64" t="n">
        <x:v>0.005</x:v>
      </x:c>
      <x:c r="D23" s="64" t="n">
        <x:v>0.005</x:v>
      </x:c>
      <x:c r="E23" s="64" t="n">
        <x:v>0.005</x:v>
      </x:c>
      <x:c r="F23" s="64" t="n">
        <x:v>0.005</x:v>
      </x:c>
      <x:c r="G23" s="64" t="n">
        <x:v>0.005</x:v>
      </x:c>
      <x:c r="H23" s="70" t="str"/>
    </x:row>
    <x:row r="24">
      <x:c r="A24" s="46" t="str">
        <x:v>Change in NWC</x:v>
      </x:c>
      <x:c r="B24" s="52" t="str"/>
      <x:c r="C24" s="44" t="n">
        <x:f>(C13-B13)*C23</x:f>
        <x:v>104.04025000000024</x:v>
      </x:c>
      <x:c r="D24" s="44" t="n">
        <x:f>(D13-C13)*D23</x:f>
        <x:v>98.31803624999972</x:v>
      </x:c>
      <x:c r="E24" s="44" t="n">
        <x:f>(E13-D13)*E23</x:f>
        <x:v>91.32653145000019</x:v>
      </x:c>
      <x:c r="F24" s="44" t="n">
        <x:f>(F13-E13)*F23</x:f>
        <x:v>83.1071436194997</x:v>
      </x:c>
      <x:c r="G24" s="44" t="n">
        <x:f>(G13-F13)*G23</x:f>
        <x:v>73.72790883958514</x:v>
      </x:c>
      <x:c r="H24" s="52" t="str"/>
    </x:row>
    <x:row r="25">
      <x:c r="A25" s="46" t="str">
        <x:v>Unlevered FCF</x:v>
      </x:c>
      <x:c r="B25" s="44" t="n">
        <x:f>B18+B20-B22</x:f>
        <x:v>111263.89189250277</x:v>
      </x:c>
      <x:c r="C25" s="44" t="n">
        <x:f>C18+C20-C22-C24</x:f>
        <x:v>112546.58084000001</x:v>
      </x:c>
      <x:c r="D25" s="44" t="n">
        <x:f>D18+D20-D22-D24</x:f>
        <x:v>117993.73661845874</x:v>
      </x:c>
      <x:c r="E25" s="44" t="n">
        <x:f>E18+E20-E22-E24</x:f>
        <x:v>123111.4521497322</x:v>
      </x:c>
      <x:c r="F25" s="44" t="n">
        <x:f>F18+F20-F22-F24</x:f>
        <x:v>127832.35709609915</x:v>
      </x:c>
      <x:c r="G25" s="44" t="n">
        <x:f>G18+G20-G22-G24</x:f>
        <x:v>132091.80621190654</x:v>
      </x:c>
      <x:c r="H25" s="52" t="str"/>
    </x:row>
    <x:row r="26">
      <x:c r="A26" s="46" t="str">
        <x:v>Discount Factor</x:v>
      </x:c>
      <x:c r="B26" s="72" t="str"/>
      <x:c r="C26" s="73" t="n">
        <x:f>1/(1+$B$5)^1</x:f>
        <x:v>0.9216589861751152</x:v>
      </x:c>
      <x:c r="D26" s="73" t="n">
        <x:f>1/(1+$B$5)^2</x:f>
        <x:v>0.8494552867973413</x:v>
      </x:c>
      <x:c r="E26" s="73" t="n">
        <x:f>1/(1+$B$5)^3</x:f>
        <x:v>0.7829080984307292</x:v>
      </x:c>
      <x:c r="F26" s="73" t="n">
        <x:f>1/(1+$B$5)^4</x:f>
        <x:v>0.7215742842679533</x:v>
      </x:c>
      <x:c r="G26" s="73" t="n">
        <x:f>1/(1+$B$5)^5</x:f>
        <x:v>0.6650454232884362</x:v>
      </x:c>
      <x:c r="H26" s="72" t="str"/>
    </x:row>
    <x:row r="27">
      <x:c r="A27" s="46" t="str">
        <x:v>PV of FCF</x:v>
      </x:c>
      <x:c r="B27" s="52" t="str"/>
      <x:c r="C27" s="44" t="n">
        <x:f>C25*C26</x:f>
        <x:v>103729.56759447005</x:v>
      </x:c>
      <x:c r="D27" s="44" t="n">
        <x:f>D25*D26</x:f>
        <x:v>100230.40337952282</x:v>
      </x:c>
      <x:c r="E27" s="44" t="n">
        <x:f>E25*E26</x:f>
        <x:v>96384.95289759254</x:v>
      </x:c>
      <x:c r="F27" s="44" t="n">
        <x:f>F25*F26</x:f>
        <x:v>92240.54157790318</x:v>
      </x:c>
      <x:c r="G27" s="44" t="n">
        <x:f>G25*G26</x:f>
        <x:v>87847.05117513148</x:v>
      </x:c>
      <x:c r="H27" s="52" t="str"/>
    </x:row>
    <x:row r="28">
      <x:c r="A28" s="46" t="str">
        <x:v>Terminal Value</x:v>
      </x:c>
      <x:c r="B28" s="52" t="str"/>
      <x:c r="C28" s="52" t="str"/>
      <x:c r="D28" s="52" t="str"/>
      <x:c r="E28" s="52" t="str"/>
      <x:c r="F28" s="52" t="str"/>
      <x:c r="G28" s="52" t="str"/>
      <x:c r="H28" s="44" t="n">
        <x:f>G25*(1+$B$6)/($B$5-$B$6)</x:f>
        <x:v>2256568.3561200695</x:v>
      </x:c>
    </x:row>
    <x:row r="29">
      <x:c r="A29" s="46" t="str">
        <x:v>PV of Terminal Value</x:v>
      </x:c>
      <x:c r="B29" s="52" t="str"/>
      <x:c r="C29" s="52" t="str"/>
      <x:c r="D29" s="52" t="str"/>
      <x:c r="E29" s="52" t="str"/>
      <x:c r="F29" s="52" t="str"/>
      <x:c r="G29" s="52" t="str"/>
      <x:c r="H29" s="44" t="n">
        <x:f>H28/(1+$B$5)^5</x:f>
        <x:v>1500720.4575751624</x:v>
      </x:c>
    </x:row>
    <x:row r="30">
      <x:c r="A30" s="46" t="str">
        <x:v>Enterprise Value</x:v>
      </x:c>
      <x:c r="B30" s="52" t="str"/>
      <x:c r="C30" s="52" t="str"/>
      <x:c r="D30" s="52" t="str"/>
      <x:c r="E30" s="52" t="str"/>
      <x:c r="F30" s="52" t="str"/>
      <x:c r="G30" s="52" t="str"/>
      <x:c r="H30" s="44" t="n">
        <x:f>SUM(C27:G27)+H29</x:f>
        <x:v>1981152.9741997826</x:v>
      </x:c>
    </x:row>
    <x:row r="31">
      <x:c r="A31" s="46" t="str">
        <x:v>Equity Value</x:v>
      </x:c>
      <x:c r="B31" s="52" t="str"/>
      <x:c r="C31" s="52" t="str"/>
      <x:c r="D31" s="52" t="str"/>
      <x:c r="E31" s="52" t="str"/>
      <x:c r="F31" s="52" t="str"/>
      <x:c r="G31" s="52" t="str"/>
      <x:c r="H31" s="44" t="n">
        <x:f>H30+$B$8</x:f>
        <x:v>2014915.9741997826</x:v>
      </x:c>
    </x:row>
    <x:row r="32">
      <x:c r="A32" s="46" t="str">
        <x:v>Implied Value / Share</x:v>
      </x:c>
      <x:c r="B32" s="52" t="str"/>
      <x:c r="C32" s="52" t="str"/>
      <x:c r="D32" s="52" t="str"/>
      <x:c r="E32" s="52" t="str"/>
      <x:c r="F32" s="52" t="str"/>
      <x:c r="G32" s="52" t="str"/>
      <x:c r="H32" s="76" t="n">
        <x:f>H31/$B$9</x:f>
        <x:v>134.28568229000442</x:v>
      </x:c>
    </x:row>
  </x:sheetData>
  <x:mergeCells>
    <x:mergeCell ref="A1:H1"/>
    <x:mergeCell ref="A2:H2"/>
    <x:mergeCell ref="A4:H4"/>
    <x:mergeCell ref="J4:Q4"/>
  </x:mergeCells>
  <x:conditionalFormatting sqref="K6:O10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34" hidden="0" customWidth="1"/>
    <x:col min="4" max="4" width="16" hidden="0" customWidth="1"/>
    <x:col min="5" max="5" width="16" hidden="0" customWidth="1"/>
    <x:col min="6" max="6" width="5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110" t="str">
        <x:v>Comparable Company Multiple Analysis</x:v>
      </x:c>
      <x:c r="B1" s="105"/>
      <x:c r="C1" s="105"/>
      <x:c r="D1" s="105"/>
      <x:c r="E1" s="105"/>
      <x:c r="F1" s="105"/>
      <x:c r="G1" s="105"/>
      <x:c r="H1" s="105"/>
      <x:c r="I1" s="105"/>
      <x:c r="J1" s="105"/>
      <x:c r="K1" s="105"/>
      <x:c r="L1" s="105"/>
      <x:c r="M1" s="105"/>
      <x:c r="N1" s="105"/>
      <x:c r="O1" s="105"/>
      <x:c r="P1" s="105"/>
      <x:c r="Q1" s="105"/>
      <x:c r="R1" s="105"/>
      <x:c r="S1" s="105"/>
      <x:c r="T1" s="105"/>
      <x:c r="U1" s="105"/>
      <x:c r="V1" s="105"/>
      <x:c r="W1" s="105"/>
      <x:c r="X1" s="105"/>
      <x:c r="Y1" s="105"/>
      <x:c r="Z1" s="105"/>
    </x:row>
    <x:row r="2">
      <x:c r="A2" s="10" t="str">
        <x:v>Prepared by Ben Levy | Illustrative multiples for a student valuation exercise - update with live market data before use</x:v>
      </x:c>
    </x:row>
    <x:row r="4">
      <x:c r="A4" s="25" t="str">
        <x:v>Company</x:v>
      </x:c>
      <x:c r="B4" s="25" t="str">
        <x:v>Ticker</x:v>
      </x:c>
      <x:c r="C4" s="25" t="str">
        <x:v>Business Model Relevance</x:v>
      </x:c>
      <x:c r="D4" s="25" t="str">
        <x:v>EV/Revenue</x:v>
      </x:c>
      <x:c r="E4" s="25" t="str">
        <x:v>P/E</x:v>
      </x:c>
      <x:c r="F4" s="25" t="str">
        <x:v>Notes</x:v>
      </x:c>
    </x:row>
    <x:row r="5">
      <x:c r="A5" s="18" t="str">
        <x:v>Microsoft</x:v>
      </x:c>
      <x:c r="B5" s="18" t="str">
        <x:v>MSFT</x:v>
      </x:c>
      <x:c r="C5" s="18" t="str">
        <x:v>Large-cap technology/software ecosystem</x:v>
      </x:c>
      <x:c r="D5" s="84" t="n">
        <x:v>12</x:v>
      </x:c>
      <x:c r="E5" s="84" t="n">
        <x:v>32</x:v>
      </x:c>
      <x:c r="F5" s="18" t="str">
        <x:v>Cloud and software exposure; higher recurring revenue mix</x:v>
      </x:c>
    </x:row>
    <x:row r="6">
      <x:c r="A6" s="18" t="str">
        <x:v>Alphabet</x:v>
      </x:c>
      <x:c r="B6" s="18" t="str">
        <x:v>GOOGL</x:v>
      </x:c>
      <x:c r="C6" s="18" t="str">
        <x:v>Large-cap digital platform</x:v>
      </x:c>
      <x:c r="D6" s="84" t="n">
        <x:v>6.5</x:v>
      </x:c>
      <x:c r="E6" s="84" t="n">
        <x:v>24</x:v>
      </x:c>
      <x:c r="F6" s="18" t="str">
        <x:v>Advertising/platform exposure; AI investment cycle</x:v>
      </x:c>
    </x:row>
    <x:row r="7">
      <x:c r="A7" s="18" t="str">
        <x:v>Meta Platforms</x:v>
      </x:c>
      <x:c r="B7" s="18" t="str">
        <x:v>META</x:v>
      </x:c>
      <x:c r="C7" s="18" t="str">
        <x:v>Large-cap consumer technology platform</x:v>
      </x:c>
      <x:c r="D7" s="84" t="n">
        <x:v>9</x:v>
      </x:c>
      <x:c r="E7" s="84" t="n">
        <x:v>26</x:v>
      </x:c>
      <x:c r="F7" s="18" t="str">
        <x:v>High margin ad platform and AI-driven capex risk</x:v>
      </x:c>
    </x:row>
    <x:row r="8">
      <x:c r="A8" s="18" t="str">
        <x:v>Amazon</x:v>
      </x:c>
      <x:c r="B8" s="18" t="str">
        <x:v>AMZN</x:v>
      </x:c>
      <x:c r="C8" s="18" t="str">
        <x:v>Platform + cloud + consumer commerce</x:v>
      </x:c>
      <x:c r="D8" s="84" t="n">
        <x:v>3.5</x:v>
      </x:c>
      <x:c r="E8" s="84" t="n">
        <x:v>38</x:v>
      </x:c>
      <x:c r="F8" s="18" t="str">
        <x:v>Lower revenue multiple due to retail mix; AWS supports valuation</x:v>
      </x:c>
    </x:row>
    <x:row r="9">
      <x:c r="A9" s="18" t="str">
        <x:v>Nvidia</x:v>
      </x:c>
      <x:c r="B9" s="18" t="str">
        <x:v>NVDA</x:v>
      </x:c>
      <x:c r="C9" s="18" t="str">
        <x:v>Semiconductor / AI infrastructure leader</x:v>
      </x:c>
      <x:c r="D9" s="84" t="n">
        <x:v>20</x:v>
      </x:c>
      <x:c r="E9" s="84" t="n">
        <x:v>45</x:v>
      </x:c>
      <x:c r="F9" s="18" t="str">
        <x:v>Premium AI growth multiple; included as high-end tech benchmark</x:v>
      </x:c>
    </x:row>
    <x:row r="12">
      <x:c r="A12" s="57" t="str">
        <x:v>Implied Valuation Output</x:v>
      </x:c>
    </x:row>
    <x:row r="13">
      <x:c r="A13" s="46" t="str">
        <x:v>Median EV/Revenue</x:v>
      </x:c>
      <x:c r="B13" s="86" t="n">
        <x:f>MEDIAN(D5:D9)</x:f>
        <x:v>9</x:v>
      </x:c>
      <x:c r="C13" t="str">
        <x:v>Applied to FY2026E revenue</x:v>
      </x:c>
      <x:c r="D13" t="str"/>
      <x:c r="E13" t="str"/>
      <x:c r="F13" t="str"/>
    </x:row>
    <x:row r="14">
      <x:c r="A14" s="46" t="str">
        <x:v>Median P/E</x:v>
      </x:c>
      <x:c r="B14" s="86" t="n">
        <x:f>MEDIAN(E5:E9)</x:f>
        <x:v>32</x:v>
      </x:c>
      <x:c r="C14" t="str">
        <x:v>Applied to FY2026E net income</x:v>
      </x:c>
      <x:c r="D14" t="str"/>
      <x:c r="E14" t="str"/>
      <x:c r="F14" t="str"/>
    </x:row>
    <x:row r="15">
      <x:c r="A15" s="46" t="str">
        <x:v>FY2026E Revenue</x:v>
      </x:c>
      <x:c r="B15" s="44" t="n">
        <x:f>'DCF Model'!C13</x:f>
        <x:v>436969.05000000005</x:v>
      </x:c>
      <x:c r="C15" t="str">
        <x:v>From DCF Model</x:v>
      </x:c>
      <x:c r="D15" t="str"/>
      <x:c r="E15" t="str"/>
      <x:c r="F15" t="str"/>
    </x:row>
    <x:row r="16">
      <x:c r="A16" s="46" t="str">
        <x:v>FY2026E Net Income Proxy</x:v>
      </x:c>
      <x:c r="B16" s="44" t="n">
        <x:f>'DCF Model'!C18</x:f>
        <x:v>113961.52824000001</x:v>
      </x:c>
      <x:c r="C16" t="str">
        <x:v>Uses NOPAT as a clean earnings proxy</x:v>
      </x:c>
      <x:c r="D16" t="str"/>
      <x:c r="E16" t="str"/>
      <x:c r="F16" t="str"/>
    </x:row>
    <x:row r="17">
      <x:c r="A17" s="46" t="str">
        <x:v>Implied EV from EV/Revenue</x:v>
      </x:c>
      <x:c r="B17" s="44" t="n">
        <x:f>B13*B15</x:f>
        <x:v>3932721.45</x:v>
      </x:c>
      <x:c r="C17" t="str"/>
      <x:c r="D17" t="str"/>
      <x:c r="E17" t="str"/>
      <x:c r="F17" t="str"/>
    </x:row>
    <x:row r="18">
      <x:c r="A18" s="46" t="str">
        <x:v>Implied Equity Value from EV/Revenue</x:v>
      </x:c>
      <x:c r="B18" s="44" t="n">
        <x:f>B17+'DCF Model'!B8</x:f>
        <x:v>3966484.45</x:v>
      </x:c>
      <x:c r="C18" t="str"/>
      <x:c r="D18" t="str"/>
      <x:c r="E18" t="str"/>
      <x:c r="F18" t="str"/>
    </x:row>
    <x:row r="19">
      <x:c r="A19" s="46" t="str">
        <x:v>Implied Price/Share from EV/Revenue</x:v>
      </x:c>
      <x:c r="B19" s="76" t="n">
        <x:f>B18/'DCF Model'!B9</x:f>
        <x:v>264.34952002029763</x:v>
      </x:c>
      <x:c r="C19" t="str"/>
      <x:c r="D19" t="str"/>
      <x:c r="E19" t="str"/>
      <x:c r="F19" t="str"/>
    </x:row>
    <x:row r="20">
      <x:c r="A20" s="46" t="str">
        <x:v>Implied Equity Value from P/E</x:v>
      </x:c>
      <x:c r="B20" s="44" t="n">
        <x:f>B14*B16</x:f>
        <x:v>3646768.9036800005</x:v>
      </x:c>
      <x:c r="C20" t="str"/>
      <x:c r="D20" t="str"/>
      <x:c r="E20" t="str"/>
      <x:c r="F20" t="str"/>
    </x:row>
    <x:row r="21">
      <x:c r="A21" s="46" t="str">
        <x:v>Implied Price/Share from P/E</x:v>
      </x:c>
      <x:c r="B21" s="76" t="n">
        <x:f>B20/'DCF Model'!B9</x:f>
        <x:v>243.0418224160075</x:v>
      </x:c>
      <x:c r="C21" t="str"/>
      <x:c r="D21" t="str"/>
      <x:c r="E21" t="str"/>
      <x:c r="F21" t="str"/>
    </x:row>
  </x:sheetData>
  <x:mergeCells>
    <x:mergeCell ref="A1:I1"/>
    <x:mergeCell ref="A2:I2"/>
    <x:mergeCell ref="A12:F12"/>
  </x:mergeCells>
  <x:pageMargins left="0.7" right="0.7" top="0.75" bottom="0.75" header="0.3" footer="0.3"/>
  <x:drawing xmlns:r="http://schemas.openxmlformats.org/officeDocument/2006/relationships" r:id="R7a0ac1551b814a3d"/>
  <x:tableParts count="1">
    <x:tablePart xmlns:r="http://schemas.openxmlformats.org/officeDocument/2006/relationships" r:id="R3a12b7bcdcee447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  <x:col min="3" max="3" width="16" hidden="0" customWidth="1"/>
    <x:col min="4" max="4" width="24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104" t="str">
        <x:v>Investment Valuation Summary - Apple Inc.</x:v>
      </x:c>
      <x:c r="B1" s="105"/>
      <x:c r="C1" s="105"/>
      <x:c r="D1" s="105"/>
      <x:c r="E1" s="105"/>
      <x:c r="F1" s="105"/>
      <x:c r="G1" s="105"/>
      <x:c r="H1" s="105"/>
      <x:c r="I1" s="105"/>
      <x:c r="J1" s="105"/>
      <x:c r="K1" s="105"/>
      <x:c r="L1" s="105"/>
      <x:c r="M1" s="105"/>
      <x:c r="N1" s="105"/>
      <x:c r="O1" s="105"/>
      <x:c r="P1" s="105"/>
      <x:c r="Q1" s="105"/>
      <x:c r="R1" s="105"/>
      <x:c r="S1" s="105"/>
      <x:c r="T1" s="105"/>
      <x:c r="U1" s="105"/>
      <x:c r="V1" s="105"/>
      <x:c r="W1" s="105"/>
      <x:c r="X1" s="105"/>
      <x:c r="Y1" s="105"/>
      <x:c r="Z1" s="105"/>
    </x:row>
    <x:row r="2">
      <x:c r="A2" s="10" t="str">
        <x:v>Prepared by Ben Levy | Presentation-ready output | Educational analysis, not investment advice</x:v>
      </x:c>
    </x:row>
    <x:row r="4">
      <x:c r="A4" s="88" t="str">
        <x:v>DCF Implied Value / Share</x:v>
      </x:c>
      <x:c r="D4" s="88" t="str">
        <x:v>Current Reference Price</x:v>
      </x:c>
      <x:c r="G4" s="88" t="str">
        <x:v>Implied Upside / Downside</x:v>
      </x:c>
    </x:row>
    <x:row r="5">
      <x:c r="A5" s="112" t="n">
        <x:f>'DCF Model'!H32</x:f>
        <x:v>134.28568229000442</x:v>
      </x:c>
      <x:c r="B5" s="78"/>
      <x:c r="D5" s="112" t="n">
        <x:f>'DCF Model'!B7</x:f>
        <x:v>250</x:v>
      </x:c>
      <x:c r="E5" s="78"/>
      <x:c r="G5" s="114" t="n">
        <x:f>'DCF Model'!H32/'DCF Model'!B7-1</x:f>
        <x:v>-0.4628572708399823</x:v>
      </x:c>
      <x:c r="H5" s="70"/>
    </x:row>
    <x:row r="7">
      <x:c r="A7" s="88" t="str">
        <x:v>Comps EV/Revenue Price</x:v>
      </x:c>
      <x:c r="D7" s="88" t="str">
        <x:v>Comps P/E Price</x:v>
      </x:c>
      <x:c r="G7" s="88" t="str">
        <x:v>FY2025 FCF Margin</x:v>
      </x:c>
    </x:row>
    <x:row r="8">
      <x:c r="A8" s="112" t="n">
        <x:f>Comps!B19</x:f>
        <x:v>264.34952002029763</x:v>
      </x:c>
      <x:c r="B8" s="78"/>
      <x:c r="D8" s="112" t="n">
        <x:f>Comps!B21</x:f>
        <x:v>243.0418224160075</x:v>
      </x:c>
      <x:c r="E8" s="78"/>
      <x:c r="G8" s="114" t="n">
        <x:f>'Financial Analysis'!D9</x:f>
        <x:v>0.23732882225869315</x:v>
      </x:c>
      <x:c r="H8" s="70"/>
    </x:row>
    <x:row r="11">
      <x:c r="A11" s="57" t="str">
        <x:v>Investment Considerations</x:v>
      </x:c>
      <x:c r="D11" s="25" t="str">
        <x:v>Method</x:v>
      </x:c>
      <x:c r="E11" s="25" t="str">
        <x:v>Implied Price/Share</x:v>
      </x:c>
    </x:row>
    <x:row r="12">
      <x:c r="A12" s="100" t="str">
        <x:v>Strengths</x:v>
      </x:c>
      <x:c r="B12" s="19" t="str">
        <x:v>Apple demonstrates large-scale revenue generation, strong operating income, durable free cash flow, and a services segment with higher gross margin characteristics.</x:v>
      </x:c>
      <x:c r="D12" t="str">
        <x:v>DCF</x:v>
      </x:c>
      <x:c r="E12" s="78" t="n">
        <x:f>'DCF Model'!H32</x:f>
        <x:v>134.28568229000442</x:v>
      </x:c>
    </x:row>
    <x:row r="13">
      <x:c r="A13" s="100" t="str">
        <x:v>Risks</x:v>
      </x:c>
      <x:c r="B13" s="19" t="str">
        <x:v>Key risks include iPhone concentration, hardware replacement cycles, China exposure, regulatory pressure, competitive AI investment, and valuation sensitivity to WACC and terminal growth assumptions.</x:v>
      </x:c>
      <x:c r="D13" t="str">
        <x:v>EV/Revenue Comps</x:v>
      </x:c>
      <x:c r="E13" s="78" t="n">
        <x:f>Comps!B19</x:f>
        <x:v>264.34952002029763</x:v>
      </x:c>
    </x:row>
    <x:row r="14">
      <x:c r="A14" s="100" t="str">
        <x:v>Liquidity / leverage</x:v>
      </x:c>
      <x:c r="B14" s="19" t="str">
        <x:v>FY2025 liquidity is tighter by current ratio, but the company holds significant cash and marketable securities and continues to generate substantial operating cash flow.</x:v>
      </x:c>
      <x:c r="D14" t="str">
        <x:v>P/E Comps</x:v>
      </x:c>
      <x:c r="E14" s="78" t="n">
        <x:f>Comps!B21</x:f>
        <x:v>243.0418224160075</x:v>
      </x:c>
    </x:row>
    <x:row r="15">
      <x:c r="A15" s="100" t="str">
        <x:v>Valuation view</x:v>
      </x:c>
      <x:c r="B15" s="19" t="str">
        <x:v>DCF output is sensitive to discount rate and terminal growth. The comps approach provides a market-based cross-check, but peer multiples should be updated before real use.</x:v>
      </x:c>
    </x:row>
    <x:row r="16">
      <x:c r="A16" s="100" t="str">
        <x:v>Conclusion framing</x:v>
      </x:c>
      <x:c r="B16" s="19" t="str">
        <x:v>Based on this student model, Apple can be framed as a high-quality company with strong cash generation, but valuation discipline is important due to mature growth and high market expectations.</x:v>
      </x:c>
    </x:row>
  </x:sheetData>
  <x:mergeCells>
    <x:mergeCell ref="A1:J1"/>
    <x:mergeCell ref="A2:J2"/>
    <x:mergeCell ref="A11:J11"/>
    <x:mergeCell ref="A4:B4"/>
    <x:mergeCell ref="A5:B5"/>
    <x:mergeCell ref="D4:E4"/>
    <x:mergeCell ref="D5:E5"/>
    <x:mergeCell ref="G4:H4"/>
    <x:mergeCell ref="G5:H5"/>
    <x:mergeCell ref="A7:B7"/>
    <x:mergeCell ref="A8:B8"/>
    <x:mergeCell ref="D7:E7"/>
    <x:mergeCell ref="D8:E8"/>
    <x:mergeCell ref="G7:H7"/>
    <x:mergeCell ref="G8:H8"/>
  </x:mergeCells>
  <x:pageMargins left="0.7" right="0.7" top="0.75" bottom="0.75" header="0.3" footer="0.3"/>
  <x:drawing xmlns:r="http://schemas.openxmlformats.org/officeDocument/2006/relationships" r:id="R93b7fd19273946d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110" t="str">
        <x:v>Investment Valuation Sources</x:v>
      </x:c>
      <x:c r="B1" s="105"/>
      <x:c r="C1" s="105"/>
      <x:c r="D1" s="105"/>
      <x:c r="E1" s="105"/>
      <x:c r="F1" s="105"/>
      <x:c r="G1" s="105"/>
      <x:c r="H1" s="105"/>
      <x:c r="I1" s="105"/>
      <x:c r="J1" s="105"/>
      <x:c r="K1" s="105"/>
      <x:c r="L1" s="105"/>
      <x:c r="M1" s="105"/>
      <x:c r="N1" s="105"/>
      <x:c r="O1" s="105"/>
      <x:c r="P1" s="105"/>
      <x:c r="Q1" s="105"/>
      <x:c r="R1" s="105"/>
      <x:c r="S1" s="105"/>
      <x:c r="T1" s="105"/>
      <x:c r="U1" s="105"/>
      <x:c r="V1" s="105"/>
      <x:c r="W1" s="105"/>
      <x:c r="X1" s="105"/>
      <x:c r="Y1" s="105"/>
      <x:c r="Z1" s="105"/>
    </x:row>
    <x:row r="2">
      <x:c r="A2" s="10" t="str">
        <x:v>Prepared by Ben Levy | Source URLs and methodological notes</x:v>
      </x:c>
    </x:row>
    <x:row r="4">
      <x:c r="A4" s="25" t="str">
        <x:v>Topic</x:v>
      </x:c>
      <x:c r="B4" s="25" t="str">
        <x:v>Source</x:v>
      </x:c>
      <x:c r="C4" s="25" t="str">
        <x:v>URL</x:v>
      </x:c>
      <x:c r="D4" s="25" t="str">
        <x:v>Used For</x:v>
      </x:c>
      <x:c r="E4" s="25" t="str">
        <x:v>Notes</x:v>
      </x:c>
    </x:row>
    <x:row r="5">
      <x:c r="A5" s="18" t="str">
        <x:v>Apple 2025 Form 10-K</x:v>
      </x:c>
      <x:c r="B5" s="18" t="str">
        <x:v>U.S. SEC EDGAR</x:v>
      </x:c>
      <x:c r="C5" s="18" t="str">
        <x:v>https://www.sec.gov/Archives/edgar/data/320193/000032019325000079/aapl-20250927.htm</x:v>
      </x:c>
      <x:c r="D5" s="18" t="str">
        <x:v>Historical financial statements</x:v>
      </x:c>
      <x:c r="E5" s="18" t="str">
        <x:v>Income statement, balance sheet, cash flow, diluted shares.</x:v>
      </x:c>
    </x:row>
    <x:row r="6">
      <x:c r="A6" s="18" t="str">
        <x:v>DCF methodology</x:v>
      </x:c>
      <x:c r="B6" s="18" t="str">
        <x:v>Classroom finance methodology</x:v>
      </x:c>
      <x:c r="C6" s="18" t="str">
        <x:v>N/A</x:v>
      </x:c>
      <x:c r="D6" s="18" t="str">
        <x:v>Forecast model</x:v>
      </x:c>
      <x:c r="E6" s="18" t="str">
        <x:v>Forecasts are based on editable assumptions, not external analyst estimates.</x:v>
      </x:c>
    </x:row>
    <x:row r="7">
      <x:c r="A7" s="18" t="str">
        <x:v>Comparable company multiples</x:v>
      </x:c>
      <x:c r="B7" s="18" t="str">
        <x:v>Illustrative market multiples for student project</x:v>
      </x:c>
      <x:c r="C7" s="18" t="str">
        <x:v>N/A</x:v>
      </x:c>
      <x:c r="D7" s="18" t="str">
        <x:v>Comps model</x:v>
      </x:c>
      <x:c r="E7" s="18" t="str">
        <x:v>Replace with live market data if the project is used in a real investment setting.</x:v>
      </x:c>
    </x:row>
    <x:row r="8">
      <x:c r="A8" s="18" t="str">
        <x:v>Prepared by</x:v>
      </x:c>
      <x:c r="B8" s="18" t="str">
        <x:v>Ben Levy</x:v>
      </x:c>
      <x:c r="C8" s="18" t="str">
        <x:v>N/A</x:v>
      </x:c>
      <x:c r="D8" s="18" t="str">
        <x:v>Project evidence</x:v>
      </x:c>
      <x:c r="E8" s="18" t="str">
        <x:v>Workbook, assumptions, and summary are marked with Ben Levy.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703c89714a749d0"/>
  </x:tableParts>
</x:worksheet>
</file>