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6ad91c6053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79a7f6ac2954cb8"/>
    <x:sheet xmlns:r="http://schemas.openxmlformats.org/officeDocument/2006/relationships" name="Official Website Inputs" sheetId="2" r:id="Rf0db0e80d51c477f"/>
    <x:sheet xmlns:r="http://schemas.openxmlformats.org/officeDocument/2006/relationships" name="Operating Assumptions" sheetId="3" r:id="R776cb2ed46fb404c"/>
    <x:sheet xmlns:r="http://schemas.openxmlformats.org/officeDocument/2006/relationships" name="Pricing Model" sheetId="4" r:id="R809635d66c9e431f"/>
    <x:sheet xmlns:r="http://schemas.openxmlformats.org/officeDocument/2006/relationships" name="Modification Tiers" sheetId="5" r:id="Rd2ff67a43a474d23"/>
    <x:sheet xmlns:r="http://schemas.openxmlformats.org/officeDocument/2006/relationships" name="Scenario Analysis" sheetId="6" r:id="R1580a4a9932946fb"/>
    <x:sheet xmlns:r="http://schemas.openxmlformats.org/officeDocument/2006/relationships" name="Cash Flow" sheetId="7" r:id="R2eb1e3e8648f47f2"/>
    <x:sheet xmlns:r="http://schemas.openxmlformats.org/officeDocument/2006/relationships" name="Dashboard" sheetId="8" r:id="R944f022793cc41e9"/>
    <x:sheet xmlns:r="http://schemas.openxmlformats.org/officeDocument/2006/relationships" name="Sources" sheetId="9" r:id="R6c59bc557db2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;-"/>
    <x:numFmt numFmtId="201" formatCode="0.0%;[Red](0.0%);-"/>
    <x:numFmt numFmtId="202" formatCode="0.0;[Red](0.0);-"/>
  </x:numFmts>
  <x:fonts count="9">
    <x:font>
      <x:sz val="11"/>
      <x:name val="Carlito"/>
    </x:font>
    <x:font>
      <x:b/>
      <x:sz val="14"/>
      <x:color rgb="FFFFFF"/>
      <x:name val="Carlito"/>
    </x:font>
    <x:font>
      <x:i/>
      <x:sz val="10"/>
      <x:color rgb="666666"/>
      <x:name val="Carlito"/>
    </x:font>
    <x:font>
      <x:b/>
      <x:sz val="11"/>
      <x:color rgb="FFFFFF"/>
      <x:name val="Carlito"/>
    </x:font>
    <x:font>
      <x:b/>
      <x:sz val="11"/>
      <x:color rgb="0B1F3A"/>
      <x:name val="Carlito"/>
    </x:font>
    <x:font>
      <x:sz val="11"/>
      <x:color rgb="0000FF"/>
      <x:name val="Carlito"/>
    </x:font>
    <x:font>
      <x:sz val="11"/>
      <x:color rgb="008000"/>
      <x:name val="Carlito"/>
    </x:font>
    <x:font>
      <x:b/>
      <x:sz val="16"/>
      <x:color rgb="0B1F3A"/>
      <x:name val="Carlito"/>
    </x:font>
    <x:font>
      <x:b/>
      <x:sz val="14"/>
      <x:color rgb="0B1F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F1F4F8"/>
      </x:patternFill>
    </x:fill>
    <x:fill>
      <x:patternFill patternType="solid">
        <x:fgColor rgb="B98B2B"/>
      </x:patternFill>
    </x:fill>
    <x:fill>
      <x:patternFill patternType="solid">
        <x:fgColor rgb="FFF4D6"/>
      </x:patternFill>
    </x:fill>
    <x:fill>
      <x:patternFill patternType="solid">
        <x:fgColor rgb="EAF2FF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/>
    </x:xf>
    <x:xf numFmtId="200" fontId="7" fillId="5" borderId="0" xfId="0" applyNumberFormat="1" applyFont="1" applyFill="1" applyBorder="1" applyAlignment="1">
      <x:alignment horizontal="center"/>
    </x:xf>
    <x:xf numFmtId="200" fontId="7" fillId="5" borderId="1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8" fillId="6" borderId="0" xfId="0" applyNumberFormat="1" applyFont="1" applyFill="1" applyBorder="1"/>
    <x:xf numFmtId="201" fontId="8" fillId="6" borderId="1" xfId="0" applyNumberFormat="1" applyFont="1" applyFill="1" applyBorder="1"/>
    <x:xf numFmtId="201" fontId="8" fillId="6" borderId="0" xfId="0" applyNumberFormat="1" applyFont="1" applyFill="1" applyBorder="1" applyAlignment="1">
      <x:alignment horizontal="center"/>
    </x:xf>
    <x:xf numFmtId="201" fontId="8" fillId="6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8" fillId="6" borderId="0" xfId="0" applyNumberFormat="1" applyFont="1" applyFill="1" applyBorder="1"/>
    <x:xf numFmtId="0" fontId="8" fillId="6" borderId="1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1" xfId="0" applyNumberFormat="1" applyFont="1" applyFill="1" applyBorder="1" applyAlignment="1">
      <x:alignment horizontal="center"/>
    </x:xf>
    <x:xf numFmtId="200" fontId="8" fillId="6" borderId="0" xfId="0" applyNumberFormat="1" applyFont="1" applyFill="1" applyBorder="1" applyAlignment="1">
      <x:alignment horizontal="center"/>
    </x:xf>
    <x:xf numFmtId="200" fontId="8" fillId="6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202" fontId="6" fillId="0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 wrapText="1"/>
    </x:xf>
    <x:xf numFmtId="202" fontId="5" fillId="0" borderId="1" xfId="0" applyNumberFormat="1" applyFont="1" applyFill="1" applyBorder="1" applyAlignment="1">
      <x:alignment vertical="top" wrapText="1"/>
    </x:xf>
    <x:xf numFmtId="202" fontId="5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5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4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200" fontId="7" fillId="5" borderId="0" xfId="0" applyNumberFormat="1" applyFont="1" applyFill="1" applyBorder="1" applyAlignment="1">
      <x:alignment horizontal="center" vertical="top"/>
    </x:xf>
    <x:xf numFmtId="201" fontId="8" fillId="6" borderId="0" xfId="0" applyNumberFormat="1" applyFont="1" applyFill="1" applyBorder="1" applyAlignment="1">
      <x:alignment horizontal="center" vertical="top"/>
    </x:xf>
    <x:xf numFmtId="200" fontId="8" fillId="6" borderId="0" xfId="0" applyNumberFormat="1" applyFont="1" applyFill="1" applyBorder="1" applyAlignment="1">
      <x:alignment horizontal="center" vertical="top"/>
    </x:xf>
    <x:xf numFmtId="0" fontId="3" fillId="2" borderId="1" xfId="0" applyNumberFormat="1" applyFont="1" applyFill="1" applyBorder="1" applyAlignment="1">
      <x:alignment horizontal="center" vertical="top"/>
    </x:xf>
    <x:xf numFmtId="200" fontId="7" fillId="5" borderId="1" xfId="0" applyNumberFormat="1" applyFont="1" applyFill="1" applyBorder="1" applyAlignment="1">
      <x:alignment horizontal="center" vertical="top"/>
    </x:xf>
    <x:xf numFmtId="201" fontId="8" fillId="6" borderId="1" xfId="0" applyNumberFormat="1" applyFont="1" applyFill="1" applyBorder="1" applyAlignment="1">
      <x:alignment horizontal="center" vertical="top"/>
    </x:xf>
    <x:xf numFmtId="200" fontId="8" fillId="6" borderId="1" xfId="0" applyNumberFormat="1" applyFont="1" applyFill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205a7688094884" /><Relationship Type="http://schemas.openxmlformats.org/officeDocument/2006/relationships/theme" Target="/xl/theme/theme1.xml" Id="R0fe9c5cf1f06434b" /><Relationship Type="http://schemas.openxmlformats.org/officeDocument/2006/relationships/sharedStrings" Target="/xl/sharedStrings.xml" Id="R06952d74dc4c4cc6" /><Relationship Type="http://schemas.openxmlformats.org/officeDocument/2006/relationships/worksheet" Target="/xl/worksheets/sheet1.xml" Id="R479a7f6ac2954cb8" /><Relationship Type="http://schemas.openxmlformats.org/officeDocument/2006/relationships/worksheet" Target="/xl/worksheets/sheet2.xml" Id="Rf0db0e80d51c477f" /><Relationship Type="http://schemas.openxmlformats.org/officeDocument/2006/relationships/worksheet" Target="/xl/worksheets/sheet3.xml" Id="R776cb2ed46fb404c" /><Relationship Type="http://schemas.openxmlformats.org/officeDocument/2006/relationships/worksheet" Target="/xl/worksheets/sheet4.xml" Id="R809635d66c9e431f" /><Relationship Type="http://schemas.openxmlformats.org/officeDocument/2006/relationships/worksheet" Target="/xl/worksheets/sheet5.xml" Id="Rd2ff67a43a474d23" /><Relationship Type="http://schemas.openxmlformats.org/officeDocument/2006/relationships/worksheet" Target="/xl/worksheets/sheet6.xml" Id="R1580a4a9932946fb" /><Relationship Type="http://schemas.openxmlformats.org/officeDocument/2006/relationships/worksheet" Target="/xl/worksheets/sheet7.xml" Id="R2eb1e3e8648f47f2" /><Relationship Type="http://schemas.openxmlformats.org/officeDocument/2006/relationships/worksheet" Target="/xl/worksheets/sheet8.xml" Id="R944f022793cc41e9" /><Relationship Type="http://schemas.openxmlformats.org/officeDocument/2006/relationships/worksheet" Target="/xl/worksheets/sheet9.xml" Id="R6c59bc557db241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 ht="28" customHeight="1">
      <x:c r="A1" s="84" t="str">
        <x:v>Higgins Digital Business Pricing &amp; Revenue Model</x:v>
      </x:c>
      <x:c r="B1" s="84"/>
      <x:c r="C1" s="84"/>
      <x:c r="D1" s="84"/>
      <x:c r="E1" s="85"/>
      <x:c r="F1" s="85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Prepared by Ben Levy | Finance Project Completion File | Updated using official Higgins Digital website pricing and company information</x:v>
      </x:c>
      <x:c r="B2" s="86"/>
      <x:c r="C2" s="86"/>
      <x:c r="D2" s="86"/>
      <x:c r="E2" s="85"/>
      <x:c r="F2" s="85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7" t="str">
        <x:v>Project objective</x:v>
      </x:c>
      <x:c r="B4" s="88" t="str">
        <x:v>Build a dynamic, formula-driven Excel model for Higgins Digital using the official website's packages, price points, value proposition, and service structure.</x:v>
      </x:c>
      <x:c r="C4" s="85"/>
      <x:c r="D4" s="85"/>
      <x:c r="E4" s="85"/>
      <x:c r="F4" s="85"/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7" t="str">
        <x:v>Resume alignment</x:v>
      </x:c>
      <x:c r="B5" s="88" t="str">
        <x:v>Matches Ben Levy's resume project: labor estimates, one-time software costs, recurring expenses, target margins, scenario analysis, break-even logic, pricing tiers, projected cash flow, conservative/base/growth cases.</x:v>
      </x:c>
      <x:c r="C5" s="85"/>
      <x:c r="D5" s="85"/>
      <x:c r="E5" s="85"/>
      <x:c r="F5" s="85"/>
      <x:c r="G5" s="85"/>
      <x:c r="H5" s="8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7" t="str">
        <x:v>Company positioning used</x:v>
      </x:c>
      <x:c r="B6" s="88" t="str">
        <x:v>High-performance websites for real businesses; fast, modern, reliable builds; full source-code ownership; domain-ready delivery; clean, conversion-focused structure.</x:v>
      </x:c>
      <x:c r="C6" s="85"/>
      <x:c r="D6" s="85"/>
      <x:c r="E6" s="85"/>
      <x:c r="F6" s="85"/>
      <x:c r="G6" s="85"/>
      <x:c r="H6" s="85"/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7" t="str">
        <x:v>Official pricing used</x:v>
      </x:c>
      <x:c r="B7" s="88" t="str">
        <x:v>Essential Presence ($1,000), Growth Standard ($2,500), Enterprise Logic ($5,000+), and modification tiers from $150 to $3,000.</x:v>
      </x:c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7" t="str">
        <x:v>How to use</x:v>
      </x:c>
      <x:c r="B8" s="88" t="str">
        <x:v>Review official website data first, update blue input cells as needed, then review Pricing Model, Modification Tiers, Scenario Analysis, Cash Flow, and Dashboard.</x:v>
      </x:c>
      <x:c r="C8" s="85"/>
      <x:c r="D8" s="85"/>
      <x:c r="E8" s="85"/>
      <x:c r="F8" s="85"/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7" t="str">
        <x:v>Proof of completion</x:v>
      </x:c>
      <x:c r="B9" s="88" t="str">
        <x:v>Workbook includes official source data, formula-driven pricing analysis, modification tier analysis, scenario cases, 12-month cash-flow forecast, dashboard KPIs, and source documentation.</x:v>
      </x:c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7" t="str">
        <x:v>Important note</x:v>
      </x:c>
      <x:c r="B10" s="88" t="str">
        <x:v>The official prices are taken from Higgins Digital's public website. Labor, cost, tax, and operating assumptions are editable estimates created for a student finance project.</x:v>
      </x:c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8"/>
      <x:c r="B11" s="88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9" t="str">
        <x:v>Sheet</x:v>
      </x:c>
      <x:c r="B12" s="89" t="str">
        <x:v>Purpose</x:v>
      </x:c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7" t="str">
        <x:v>Official Website Inputs</x:v>
      </x:c>
      <x:c r="B13" s="88" t="str">
        <x:v>Official Higgins Digital package pricing, market averages, service details, source-code ownership notes, and company positioning.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7" t="str">
        <x:v>Operating Assumptions</x:v>
      </x:c>
      <x:c r="B14" s="88" t="str">
        <x:v>Editable inputs for labor cost, estimated hours, tools, recurring operating costs, and tax reserve.</x:v>
      </x:c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7" t="str">
        <x:v>Pricing Model</x:v>
      </x:c>
      <x:c r="B15" s="88" t="str">
        <x:v>New website build profitability using official package prices and estimated direct costs.</x:v>
      </x:c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7" t="str">
        <x:v>Modification Tiers</x:v>
      </x:c>
      <x:c r="B16" s="88" t="str">
        <x:v>Analysis of Quick Fix, Standard Mod, Advanced Mod, and Full Transformation tiers.</x:v>
      </x:c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7" t="str">
        <x:v>Scenario Analysis</x:v>
      </x:c>
      <x:c r="B17" s="88" t="str">
        <x:v>Conservative, Base, and Growth monthly operating cases using official pricing.</x:v>
      </x:c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7" t="str">
        <x:v>Cash Flow</x:v>
      </x:c>
      <x:c r="B18" s="88" t="str">
        <x:v>12-month forecast using the Base scenario and fixed operating cost assumptions.</x:v>
      </x:c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7" t="str">
        <x:v>Dashboard</x:v>
      </x:c>
      <x:c r="B19" s="88" t="str">
        <x:v>Executive KPI summary showing pricing, margin, break-even, and cash-flow outputs.</x:v>
      </x:c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7" t="str">
        <x:v>Sources</x:v>
      </x:c>
      <x:c r="B20" s="88" t="str">
        <x:v>Direct URLs and notes from Higgins Digital's official website.</x:v>
      </x:c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7"/>
      <x:c r="B21" s="88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5" hidden="0" customWidth="1"/>
    <x:col min="8" max="8" width="25" hidden="0" customWidth="1"/>
    <x:col min="9" max="9" width="24" hidden="0" customWidth="1"/>
    <x:col min="10" max="10" width="70" hidden="0" customWidth="1"/>
    <x:col min="11" max="11" width="31" hidden="0" customWidth="1"/>
  </x:cols>
  <x:sheetData>
    <x:row r="1" ht="28" customHeight="1">
      <x:c r="A1" s="84" t="str">
        <x:v>Official Website Inputs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Public package, company, and service details from Higgins Digital official website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Tier / Item</x:v>
      </x:c>
      <x:c r="B4" s="89" t="str">
        <x:v>Category</x:v>
      </x:c>
      <x:c r="C4" s="89" t="str">
        <x:v>Price Low</x:v>
      </x:c>
      <x:c r="D4" s="89" t="str">
        <x:v>Price High</x:v>
      </x:c>
      <x:c r="E4" s="89" t="str">
        <x:v>Model Price</x:v>
      </x:c>
      <x:c r="F4" s="89" t="str">
        <x:v>Market Avg</x:v>
      </x:c>
      <x:c r="G4" s="89" t="str">
        <x:v>Discount vs Market</x:v>
      </x:c>
      <x:c r="H4" s="89" t="str">
        <x:v>Scope / Pages</x:v>
      </x:c>
      <x:c r="I4" s="89" t="str">
        <x:v>Turnaround / Support</x:v>
      </x:c>
      <x:c r="J4" s="89" t="str">
        <x:v>Official Description / Included Details</x:v>
      </x:c>
      <x:c r="K4" s="89" t="str">
        <x:v>Source URL</x:v>
      </x:c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8" t="str">
        <x:v>Essential Presence</x:v>
      </x:c>
      <x:c r="B5" s="88" t="str">
        <x:v>New Website Build</x:v>
      </x:c>
      <x:c r="C5" s="96" t="n">
        <x:v>1000</x:v>
      </x:c>
      <x:c r="D5" s="96"/>
      <x:c r="E5" s="96" t="n">
        <x:f>IF(OR(D5="",D5=0),C5,AVERAGE(C5:D5))</x:f>
        <x:v>1000</x:v>
      </x:c>
      <x:c r="F5" s="96" t="n">
        <x:v>3500</x:v>
      </x:c>
      <x:c r="G5" s="97" t="n">
        <x:f>IFERROR(1-E5/F5,"")</x:f>
        <x:v>0.7142857142857143</x:v>
      </x:c>
      <x:c r="H5" s="88" t="str">
        <x:v>5-page professional build</x:v>
      </x:c>
      <x:c r="I5" s="88" t="str">
        <x:v>30-day post-launch support</x:v>
      </x:c>
      <x:c r="J5" s="88" t="str">
        <x:v>Lean, fast, professional build for small businesses establishing a real digital footprint; includes sub-second load speeds, responsive UI/UX, basic SEO, deployment setup, SSL, and contact form integration.</x:v>
      </x:c>
      <x:c r="K5" s="88" t="str">
        <x:v>https://higginsd.com/pricing</x:v>
      </x:c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8" t="str">
        <x:v>Growth Standard</x:v>
      </x:c>
      <x:c r="B6" s="88" t="str">
        <x:v>New Website Build</x:v>
      </x:c>
      <x:c r="C6" s="96" t="n">
        <x:v>2500</x:v>
      </x:c>
      <x:c r="D6" s="96"/>
      <x:c r="E6" s="96" t="n">
        <x:f>IF(OR(D6="",D6=0),C6,AVERAGE(C6:D6))</x:f>
        <x:v>2500</x:v>
      </x:c>
      <x:c r="F6" s="96" t="n">
        <x:v>8500</x:v>
      </x:c>
      <x:c r="G6" s="97" t="n">
        <x:f>IFERROR(1-E6/F6,"")</x:f>
        <x:v>0.7058823529411764</x:v>
      </x:c>
      <x:c r="H6" s="88" t="str">
        <x:v>12-page custom build</x:v>
      </x:c>
      <x:c r="I6" s="88" t="str">
        <x:v>60-day post-launch support</x:v>
      </x:c>
      <x:c r="J6" s="88" t="str">
        <x:v>Most Popular. Complete digital presence for businesses ready to convert traffic into clients; includes CMS integration, advanced lead capture, motion, technical SEO audit, monthly performance report, and scaling architecture.</x:v>
      </x:c>
      <x:c r="K6" s="88" t="str">
        <x:v>https://higginsd.com/pricing</x:v>
      </x:c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8" t="str">
        <x:v>Enterprise Logic</x:v>
      </x:c>
      <x:c r="B7" s="88" t="str">
        <x:v>New Website Build</x:v>
      </x:c>
      <x:c r="C7" s="96" t="n">
        <x:v>5000</x:v>
      </x:c>
      <x:c r="D7" s="96"/>
      <x:c r="E7" s="96" t="n">
        <x:f>IF(OR(D7="",D7=0),C7,AVERAGE(C7:D7))</x:f>
        <x:v>5000</x:v>
      </x:c>
      <x:c r="F7" s="96" t="n">
        <x:v>18000</x:v>
      </x:c>
      <x:c r="G7" s="97" t="n">
        <x:f>IFERROR(1-E7/F7,"")</x:f>
        <x:v>0.7222222222222222</x:v>
      </x:c>
      <x:c r="H7" s="88" t="str">
        <x:v>Unlimited pages and scope</x:v>
      </x:c>
      <x:c r="I7" s="88" t="str">
        <x:v>90-day post-launch support</x:v>
      </x:c>
      <x:c r="J7" s="88" t="str">
        <x:v>Custom API and portal build for operations that need real engineering; includes custom data integrations, client/user portals, API development, premium security hardening, priority support, and project management.</x:v>
      </x:c>
      <x:c r="K7" s="88" t="str">
        <x:v>https://higginsd.com/pricing</x:v>
      </x:c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8" t="str">
        <x:v>Quick Fix</x:v>
      </x:c>
      <x:c r="B8" s="88" t="str">
        <x:v>Modification</x:v>
      </x:c>
      <x:c r="C8" s="96" t="n">
        <x:v>150</x:v>
      </x:c>
      <x:c r="D8" s="96" t="n">
        <x:v>350</x:v>
      </x:c>
      <x:c r="E8" s="96" t="n">
        <x:f>IF(OR(D8="",D8=0),C8,AVERAGE(C8:D8))</x:f>
        <x:v>250</x:v>
      </x:c>
      <x:c r="F8" s="96"/>
      <x:c r="G8" s="97" t="str">
        <x:f>IFERROR(1-E8/F8,"")</x:f>
      </x:c>
      <x:c r="H8" s="88" t="str">
        <x:v>Small targeted changes</x:v>
      </x:c>
      <x:c r="I8" s="88" t="str">
        <x:v>1-3 day turnaround</x:v>
      </x:c>
      <x:c r="J8" s="88" t="str">
        <x:v>Copy edits, image swaps, color tweaks, form/contact edits, and minor layout changes.</x:v>
      </x:c>
      <x:c r="K8" s="88" t="str">
        <x:v>https://higginsd.com/pricing</x:v>
      </x:c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8" t="str">
        <x:v>Standard Mod</x:v>
      </x:c>
      <x:c r="B9" s="88" t="str">
        <x:v>Modification</x:v>
      </x:c>
      <x:c r="C9" s="96" t="n">
        <x:v>350</x:v>
      </x:c>
      <x:c r="D9" s="96" t="n">
        <x:v>800</x:v>
      </x:c>
      <x:c r="E9" s="96" t="n">
        <x:f>IF(OR(D9="",D9=0),C9,AVERAGE(C9:D9))</x:f>
        <x:v>575</x:v>
      </x:c>
      <x:c r="F9" s="96"/>
      <x:c r="G9" s="97" t="str">
        <x:f>IFERROR(1-E9/F9,"")</x:f>
      </x:c>
      <x:c r="H9" s="88" t="str">
        <x:v>Page-level updates</x:v>
      </x:c>
      <x:c r="I9" s="88" t="str">
        <x:v>3-5 day turnaround</x:v>
      </x:c>
      <x:c r="J9" s="88" t="str">
        <x:v>New page additions, section redesigns, navigation restructure, and CTA/conversion updates.</x:v>
      </x:c>
      <x:c r="K9" s="88" t="str">
        <x:v>https://higginsd.com/pricing</x:v>
      </x:c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8" t="str">
        <x:v>Advanced Mod</x:v>
      </x:c>
      <x:c r="B10" s="88" t="str">
        <x:v>Modification</x:v>
      </x:c>
      <x:c r="C10" s="96" t="n">
        <x:v>800</x:v>
      </x:c>
      <x:c r="D10" s="96" t="n">
        <x:v>1500</x:v>
      </x:c>
      <x:c r="E10" s="96" t="n">
        <x:f>IF(OR(D10="",D10=0),C10,AVERAGE(C10:D10))</x:f>
        <x:v>1150</x:v>
      </x:c>
      <x:c r="F10" s="96"/>
      <x:c r="G10" s="97" t="str">
        <x:f>IFERROR(1-E10/F10,"")</x:f>
      </x:c>
      <x:c r="H10" s="88" t="str">
        <x:v>Structural and visual changes</x:v>
      </x:c>
      <x:c r="I10" s="88" t="str">
        <x:v>5-10 day turnaround</x:v>
      </x:c>
      <x:c r="J10" s="88" t="str">
        <x:v>Full section rebuilds, animation additions, performance audit and fixes, and SEO overhaul.</x:v>
      </x:c>
      <x:c r="K10" s="88" t="str">
        <x:v>https://higginsd.com/pricing</x:v>
      </x:c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8" t="str">
        <x:v>Full Transformation</x:v>
      </x:c>
      <x:c r="B11" s="88" t="str">
        <x:v>Modification</x:v>
      </x:c>
      <x:c r="C11" s="96" t="n">
        <x:v>1500</x:v>
      </x:c>
      <x:c r="D11" s="96" t="n">
        <x:v>3000</x:v>
      </x:c>
      <x:c r="E11" s="96" t="n">
        <x:f>IF(OR(D11="",D11=0),C11,AVERAGE(C11:D11))</x:f>
        <x:v>2250</x:v>
      </x:c>
      <x:c r="F11" s="96"/>
      <x:c r="G11" s="97" t="str">
        <x:f>IFERROR(1-E11/F11,"")</x:f>
      </x:c>
      <x:c r="H11" s="88" t="str">
        <x:v>Complete redesign</x:v>
      </x:c>
      <x:c r="I11" s="88" t="str">
        <x:v>2-4 week turnaround</x:v>
      </x:c>
      <x:c r="J11" s="88" t="str">
        <x:v>Complete visual redesign, brand system overhaul, architecture rebuild, and domain transition support.</x:v>
      </x:c>
      <x:c r="K11" s="88" t="str">
        <x:v>https://higginsd.com/pricing</x:v>
      </x:c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8"/>
      <x:c r="B13" s="88"/>
      <x:c r="C13" s="88"/>
      <x:c r="D13" s="88"/>
      <x:c r="E13" s="88"/>
      <x:c r="F13" s="88"/>
      <x:c r="G13" s="88"/>
      <x:c r="H13" s="88"/>
      <x:c r="I13" s="88"/>
      <x:c r="J13" s="88"/>
      <x:c r="K13" s="88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9" t="str">
        <x:v>Company Detail</x:v>
      </x:c>
      <x:c r="B14" s="89" t="str">
        <x:v>Official Website Language / Detail</x:v>
      </x:c>
      <x:c r="C14" s="89" t="str">
        <x:v>Source URL</x:v>
      </x:c>
      <x:c r="D14" s="88"/>
      <x:c r="E14" s="88"/>
      <x:c r="F14" s="88"/>
      <x:c r="G14" s="88"/>
      <x:c r="H14" s="88"/>
      <x:c r="I14" s="88"/>
      <x:c r="J14" s="88"/>
      <x:c r="K14" s="88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7" t="str">
        <x:v>Positioning</x:v>
      </x:c>
      <x:c r="B15" s="88" t="str">
        <x:v>High-performance websites for real businesses. Fast, modern, reliable websites built to strengthen trust, improve first impressions, and help real companies look as strong online as they do in person.</x:v>
      </x:c>
      <x:c r="C15" s="88" t="str">
        <x:v>https://higginsd.com/</x:v>
      </x:c>
      <x:c r="D15" s="88"/>
      <x:c r="E15" s="88"/>
      <x:c r="F15" s="88"/>
      <x:c r="G15" s="88"/>
      <x:c r="H15" s="88"/>
      <x:c r="I15" s="88"/>
      <x:c r="J15" s="88"/>
      <x:c r="K15" s="88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7" t="str">
        <x:v>Service model</x:v>
      </x:c>
      <x:c r="B16" s="88" t="str">
        <x:v>Website development, domain transition support, performance optimization, and brand systems / brand refresh support.</x:v>
      </x:c>
      <x:c r="C16" s="88" t="str">
        <x:v>https://higginsd.com/</x:v>
      </x:c>
      <x:c r="D16" s="88"/>
      <x:c r="E16" s="88"/>
      <x:c r="F16" s="88"/>
      <x:c r="G16" s="88"/>
      <x:c r="H16" s="88"/>
      <x:c r="I16" s="88"/>
      <x:c r="J16" s="88"/>
      <x:c r="K16" s="88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7" t="str">
        <x:v>Ownership</x:v>
      </x:c>
      <x:c r="B17" s="88" t="str">
        <x:v>All builds include domain configuration, mobile optimization, and full source-code ownership. Once delivered, the website code is 100% the client's, with no platform lock-in.</x:v>
      </x:c>
      <x:c r="C17" s="88" t="str">
        <x:v>https://higginsd.com/pricing</x:v>
      </x:c>
      <x:c r="D17" s="88"/>
      <x:c r="E17" s="88"/>
      <x:c r="F17" s="88"/>
      <x:c r="G17" s="88"/>
      <x:c r="H17" s="88"/>
      <x:c r="I17" s="88"/>
      <x:c r="J17" s="88"/>
      <x:c r="K17" s="88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7" t="str">
        <x:v>Process</x:v>
      </x:c>
      <x:c r="B18" s="88" t="str">
        <x:v>Higgins Digital reviews the current website, goals, pages needed, assets, and domain, then sends a quote within 1-2 days.</x:v>
      </x:c>
      <x:c r="C18" s="88" t="str">
        <x:v>https://higginsd.com/services</x:v>
      </x:c>
      <x:c r="D18" s="88"/>
      <x:c r="E18" s="88"/>
      <x:c r="F18" s="88"/>
      <x:c r="G18" s="88"/>
      <x:c r="H18" s="88"/>
      <x:c r="I18" s="88"/>
      <x:c r="J18" s="88"/>
      <x:c r="K18" s="88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7" t="str">
        <x:v>Performance advantage</x:v>
      </x:c>
      <x:c r="B19" s="88" t="str">
        <x:v>Higgins Digital compares its stack at 0.4s-0.9s loading speed versus a standard agency build at 2.5s-5.0s.</x:v>
      </x:c>
      <x:c r="C19" s="88" t="str">
        <x:v>https://higginsd.com/pricing</x:v>
      </x:c>
      <x:c r="D19" s="88"/>
      <x:c r="E19" s="88"/>
      <x:c r="F19" s="88"/>
      <x:c r="G19" s="88"/>
      <x:c r="H19" s="88"/>
      <x:c r="I19" s="88"/>
      <x:c r="J19" s="88"/>
      <x:c r="K19" s="88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7" t="str">
        <x:v>Contact</x:v>
      </x:c>
      <x:c r="B20" s="88" t="str">
        <x:v>Business inquiries are directed to davishiggins@higginsd.com through the official site.</x:v>
      </x:c>
      <x:c r="C20" s="88" t="str">
        <x:v>https://higginsd.com/contact</x:v>
      </x:c>
      <x:c r="D20" s="88"/>
      <x:c r="E20" s="88"/>
      <x:c r="F20" s="88"/>
      <x:c r="G20" s="88"/>
      <x:c r="H20" s="88"/>
      <x:c r="I20" s="88"/>
      <x:c r="J20" s="88"/>
      <x:c r="K20" s="88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16" hidden="0" customWidth="1"/>
    <x:col min="4" max="4" width="14" hidden="0" customWidth="1"/>
    <x:col min="5" max="5" width="15" hidden="0" customWidth="1"/>
    <x:col min="6" max="6" width="15" hidden="0" customWidth="1"/>
    <x:col min="7" max="7" width="13" hidden="0" customWidth="1"/>
    <x:col min="8" max="8" width="45" hidden="0" customWidth="1"/>
    <x:col min="9" max="9" width="18" hidden="0" customWidth="1"/>
    <x:col min="10" max="10" width="31" hidden="0" customWidth="1"/>
  </x:cols>
  <x:sheetData>
    <x:row r="1" ht="28" customHeight="1">
      <x:c r="A1" s="84" t="str">
        <x:v>Operating Assumptions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Editable estimates used to translate official Higgins Digital pricing into finance project analysis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Package</x:v>
      </x:c>
      <x:c r="B4" s="89" t="str">
        <x:v>Design Hrs</x:v>
      </x:c>
      <x:c r="C4" s="89" t="str">
        <x:v>Development Hrs</x:v>
      </x:c>
      <x:c r="D4" s="89" t="str">
        <x:v>PM/Admin Hrs</x:v>
      </x:c>
      <x:c r="E4" s="89" t="str">
        <x:v>Hourly Cost ($/hr)</x:v>
      </x:c>
      <x:c r="F4" s="89" t="str">
        <x:v>One-Time Tools ($)</x:v>
      </x:c>
      <x:c r="G4" s="89" t="str">
        <x:v>Target GM %</x:v>
      </x:c>
      <x:c r="H4" s="89" t="str">
        <x:v>Internal Notes</x:v>
      </x:c>
      <x:c r="I4" s="89" t="str">
        <x:v>Linked Official Price</x:v>
      </x:c>
      <x:c r="J4" s="89" t="str">
        <x:v>Source</x:v>
      </x:c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8" t="str">
        <x:v>Essential Presence</x:v>
      </x:c>
      <x:c r="B5" s="100" t="n">
        <x:v>5</x:v>
      </x:c>
      <x:c r="C5" s="100" t="n">
        <x:v>14</x:v>
      </x:c>
      <x:c r="D5" s="100" t="n">
        <x:v>3</x:v>
      </x:c>
      <x:c r="E5" s="101" t="n">
        <x:v>20</x:v>
      </x:c>
      <x:c r="F5" s="101" t="n">
        <x:v>60</x:v>
      </x:c>
      <x:c r="G5" s="102" t="n">
        <x:v>0.45</x:v>
      </x:c>
      <x:c r="H5" s="88" t="str">
        <x:v>Lean 5-page build with SSL, contact form, responsive UX, and basic SEO.</x:v>
      </x:c>
      <x:c r="I5" s="103" t="n">
        <x:f>'Official Website Inputs'!E5</x:f>
        <x:v>1000</x:v>
      </x:c>
      <x:c r="J5" s="88" t="str">
        <x:v>https://higginsd.com/pricing</x:v>
      </x:c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8" t="str">
        <x:v>Growth Standard</x:v>
      </x:c>
      <x:c r="B6" s="100" t="n">
        <x:v>12</x:v>
      </x:c>
      <x:c r="C6" s="100" t="n">
        <x:v>30</x:v>
      </x:c>
      <x:c r="D6" s="100" t="n">
        <x:v>6</x:v>
      </x:c>
      <x:c r="E6" s="101" t="n">
        <x:v>25</x:v>
      </x:c>
      <x:c r="F6" s="101" t="n">
        <x:v>125</x:v>
      </x:c>
      <x:c r="G6" s="102" t="n">
        <x:v>0.45</x:v>
      </x:c>
      <x:c r="H6" s="88" t="str">
        <x:v>12-page custom build with CMS, lead capture, motion, SEO audit, and reporting.</x:v>
      </x:c>
      <x:c r="I6" s="103" t="n">
        <x:f>'Official Website Inputs'!E6</x:f>
        <x:v>2500</x:v>
      </x:c>
      <x:c r="J6" s="88" t="str">
        <x:v>https://higginsd.com/pricing</x:v>
      </x:c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8" t="str">
        <x:v>Enterprise Logic</x:v>
      </x:c>
      <x:c r="B7" s="100" t="n">
        <x:v>20</x:v>
      </x:c>
      <x:c r="C7" s="100" t="n">
        <x:v>60</x:v>
      </x:c>
      <x:c r="D7" s="100" t="n">
        <x:v>12</x:v>
      </x:c>
      <x:c r="E7" s="101" t="n">
        <x:v>30</x:v>
      </x:c>
      <x:c r="F7" s="101" t="n">
        <x:v>300</x:v>
      </x:c>
      <x:c r="G7" s="102" t="n">
        <x:v>0.4</x:v>
      </x:c>
      <x:c r="H7" s="88" t="str">
        <x:v>Starting-scope estimate for API/portal work; final quote should scale with scope.</x:v>
      </x:c>
      <x:c r="I7" s="103" t="n">
        <x:f>'Official Website Inputs'!E7</x:f>
        <x:v>5000</x:v>
      </x:c>
      <x:c r="J7" s="88" t="str">
        <x:v>https://higginsd.com/pricing</x:v>
      </x:c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9" t="str">
        <x:v>Recurring Operating Cost</x:v>
      </x:c>
      <x:c r="B10" s="89" t="str">
        <x:v>Monthly Cost</x:v>
      </x:c>
      <x:c r="C10" s="89" t="str">
        <x:v>Notes</x:v>
      </x:c>
      <x:c r="D10" s="89" t="str">
        <x:v>Used in Model?</x:v>
      </x:c>
      <x:c r="E10" s="89" t="str">
        <x:v>Source / Basis</x:v>
      </x:c>
      <x:c r="F10" s="88"/>
      <x:c r="G10" s="88"/>
      <x:c r="H10" s="88"/>
      <x:c r="I10" s="88"/>
      <x:c r="J10" s="88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8" t="str">
        <x:v>Hosting / deployment tools</x:v>
      </x:c>
      <x:c r="B11" s="101" t="n">
        <x:v>65</x:v>
      </x:c>
      <x:c r="C11" s="88" t="str">
        <x:v>Production hosting, analytics, and deployment baseline.</x:v>
      </x:c>
      <x:c r="D11" s="88" t="str">
        <x:v>Yes</x:v>
      </x:c>
      <x:c r="E11" s="88" t="str">
        <x:v>Internal estimate</x:v>
      </x:c>
      <x:c r="F11" s="88"/>
      <x:c r="G11" s="88"/>
      <x:c r="H11" s="88"/>
      <x:c r="I11" s="88"/>
      <x:c r="J11" s="88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8" t="str">
        <x:v>Domain / email / workspace</x:v>
      </x:c>
      <x:c r="B12" s="101" t="n">
        <x:v>28</x:v>
      </x:c>
      <x:c r="C12" s="88" t="str">
        <x:v>Business email, domain, and workspace assumptions.</x:v>
      </x:c>
      <x:c r="D12" s="88" t="str">
        <x:v>Yes</x:v>
      </x:c>
      <x:c r="E12" s="88" t="str">
        <x:v>Internal estimate</x:v>
      </x:c>
      <x:c r="F12" s="88"/>
      <x:c r="G12" s="88"/>
      <x:c r="H12" s="88"/>
      <x:c r="I12" s="88"/>
      <x:c r="J12" s="88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8" t="str">
        <x:v>Software subscriptions</x:v>
      </x:c>
      <x:c r="B13" s="101" t="n">
        <x:v>95</x:v>
      </x:c>
      <x:c r="C13" s="88" t="str">
        <x:v>Design, AI, finance, client management, and productivity tools.</x:v>
      </x:c>
      <x:c r="D13" s="88" t="str">
        <x:v>Yes</x:v>
      </x:c>
      <x:c r="E13" s="88" t="str">
        <x:v>Internal estimate</x:v>
      </x:c>
      <x:c r="F13" s="88"/>
      <x:c r="G13" s="88"/>
      <x:c r="H13" s="88"/>
      <x:c r="I13" s="88"/>
      <x:c r="J13" s="88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8" t="str">
        <x:v>Marketing &amp; outreach</x:v>
      </x:c>
      <x:c r="B14" s="101" t="n">
        <x:v>150</x:v>
      </x:c>
      <x:c r="C14" s="88" t="str">
        <x:v>Light outreach and lead generation budget.</x:v>
      </x:c>
      <x:c r="D14" s="88" t="str">
        <x:v>Yes</x:v>
      </x:c>
      <x:c r="E14" s="88" t="str">
        <x:v>Internal estimate</x:v>
      </x:c>
      <x:c r="F14" s="88"/>
      <x:c r="G14" s="88"/>
      <x:c r="H14" s="88"/>
      <x:c r="I14" s="88"/>
      <x:c r="J14" s="88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8" t="str">
        <x:v>Accounting / admin</x:v>
      </x:c>
      <x:c r="B15" s="101" t="n">
        <x:v>40</x:v>
      </x:c>
      <x:c r="C15" s="88" t="str">
        <x:v>Bookkeeping, invoicing, banking, and admin tools.</x:v>
      </x:c>
      <x:c r="D15" s="88" t="str">
        <x:v>Yes</x:v>
      </x:c>
      <x:c r="E15" s="88" t="str">
        <x:v>Internal estimate</x:v>
      </x:c>
      <x:c r="F15" s="88"/>
      <x:c r="G15" s="88"/>
      <x:c r="H15" s="88"/>
      <x:c r="I15" s="88"/>
      <x:c r="J15" s="88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8" t="str">
        <x:v>Total Fixed Monthly Costs</x:v>
      </x:c>
      <x:c r="B16" s="96" t="n">
        <x:f>SUM(B11:B15)</x:f>
        <x:v>378</x:v>
      </x:c>
      <x:c r="C16" s="88" t="str">
        <x:v>Formula sum used in Scenario Analysis and Cash Flow.</x:v>
      </x:c>
      <x:c r="D16" s="88" t="str">
        <x:v>Yes</x:v>
      </x:c>
      <x:c r="E16" s="88" t="str">
        <x:v>Calculated</x:v>
      </x:c>
      <x:c r="F16" s="88"/>
      <x:c r="G16" s="88"/>
      <x:c r="H16" s="88"/>
      <x:c r="I16" s="88"/>
      <x:c r="J16" s="88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9" t="str">
        <x:v>Tax / Cash Assumption</x:v>
      </x:c>
      <x:c r="B19" s="89" t="str">
        <x:v>Value</x:v>
      </x:c>
      <x:c r="C19" s="89" t="str">
        <x:v>Notes</x:v>
      </x:c>
      <x:c r="D19" s="89" t="str">
        <x:v>Source / Basis</x:v>
      </x:c>
      <x:c r="E19" s="88"/>
      <x:c r="F19" s="88"/>
      <x:c r="G19" s="88"/>
      <x:c r="H19" s="88"/>
      <x:c r="I19" s="88"/>
      <x:c r="J19" s="88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8" t="str">
        <x:v>Tax Reserve %</x:v>
      </x:c>
      <x:c r="B20" s="102" t="n">
        <x:v>0.2</x:v>
      </x:c>
      <x:c r="C20" s="88" t="str">
        <x:v>Reserve applied to pre-tax monthly cash flow.</x:v>
      </x:c>
      <x:c r="D20" s="88" t="str">
        <x:v>Internal estimate</x:v>
      </x:c>
      <x:c r="E20" s="88"/>
      <x:c r="F20" s="88"/>
      <x:c r="G20" s="88"/>
      <x:c r="H20" s="88"/>
      <x:c r="I20" s="88"/>
      <x:c r="J20" s="88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8" t="str">
        <x:v>Beginning Cash</x:v>
      </x:c>
      <x:c r="B21" s="101" t="n">
        <x:v>1500</x:v>
      </x:c>
      <x:c r="C21" s="88" t="str">
        <x:v>Starting cash balance used in the 12-month forecast.</x:v>
      </x:c>
      <x:c r="D21" s="88" t="str">
        <x:v>Internal estimate</x:v>
      </x:c>
      <x:c r="E21" s="88"/>
      <x:c r="F21" s="88"/>
      <x:c r="G21" s="88"/>
      <x:c r="H21" s="88"/>
      <x:c r="I21" s="88"/>
      <x:c r="J21" s="88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8" t="str">
        <x:v>Base Scenario Used in Cash Flow</x:v>
      </x:c>
      <x:c r="B22" s="88" t="str">
        <x:v>Base</x:v>
      </x:c>
      <x:c r="C22" s="88" t="str">
        <x:v>Cash Flow sheet uses Base scenario by default.</x:v>
      </x:c>
      <x:c r="D22" s="88" t="str">
        <x:v>Project design</x:v>
      </x:c>
      <x:c r="E22" s="88"/>
      <x:c r="F22" s="88"/>
      <x:c r="G22" s="88"/>
      <x:c r="H22" s="88"/>
      <x:c r="I22" s="88"/>
      <x:c r="J22" s="88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8" t="str">
        <x:v>Quote Turnaround</x:v>
      </x:c>
      <x:c r="B23" s="88" t="str">
        <x:v>1-2 days</x:v>
      </x:c>
      <x:c r="C23" s="88" t="str">
        <x:v>Official site states Higgins Digital sends a quote within 1-2 days after reviewing details.</x:v>
      </x:c>
      <x:c r="D23" s="88" t="str">
        <x:v>https://higginsd.com/services</x:v>
      </x:c>
      <x:c r="E23" s="88"/>
      <x:c r="F23" s="88"/>
      <x:c r="G23" s="88"/>
      <x:c r="H23" s="88"/>
      <x:c r="I23" s="88"/>
      <x:c r="J23" s="88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1" hidden="0" customWidth="1"/>
    <x:col min="4" max="4" width="15" hidden="0" customWidth="1"/>
    <x:col min="5" max="5" width="13" hidden="0" customWidth="1"/>
    <x:col min="6" max="6" width="12" hidden="0" customWidth="1"/>
    <x:col min="7" max="7" width="14" hidden="0" customWidth="1"/>
    <x:col min="8" max="8" width="17" hidden="0" customWidth="1"/>
    <x:col min="9" max="9" width="12" hidden="0" customWidth="1"/>
    <x:col min="10" max="10" width="17" hidden="0" customWidth="1"/>
    <x:col min="11" max="11" width="18" hidden="0" customWidth="1"/>
    <x:col min="12" max="12" width="12" hidden="0" customWidth="1"/>
    <x:col min="13" max="13" width="13" hidden="0" customWidth="1"/>
    <x:col min="14" max="14" width="16" hidden="0" customWidth="1"/>
    <x:col min="15" max="15" width="11" hidden="0" customWidth="1"/>
    <x:col min="16" max="16" width="45" hidden="0" customWidth="1"/>
  </x:cols>
  <x:sheetData>
    <x:row r="1" ht="28" customHeight="1">
      <x:c r="A1" s="84" t="str">
        <x:v>Pricing Model - New Website Builds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4"/>
      <x:c r="P1" s="84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Profitability analysis using official Higgins Digital pricing for Essential Presence, Growth Standard, and Enterprise Logic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6"/>
      <x:c r="P2" s="86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Package</x:v>
      </x:c>
      <x:c r="B4" s="89" t="str">
        <x:v>Official Starting Price</x:v>
      </x:c>
      <x:c r="C4" s="89" t="str">
        <x:v>Design Hrs</x:v>
      </x:c>
      <x:c r="D4" s="89" t="str">
        <x:v>Development Hrs</x:v>
      </x:c>
      <x:c r="E4" s="89" t="str">
        <x:v>PM/Admin Hrs</x:v>
      </x:c>
      <x:c r="F4" s="89" t="str">
        <x:v>Hourly Cost</x:v>
      </x:c>
      <x:c r="G4" s="89" t="str">
        <x:v>One-Time Tools</x:v>
      </x:c>
      <x:c r="H4" s="89" t="str">
        <x:v>Estimated Direct Cost</x:v>
      </x:c>
      <x:c r="I4" s="89" t="str">
        <x:v>Target GM %</x:v>
      </x:c>
      <x:c r="J4" s="89" t="str">
        <x:v>Required Price at Target GM</x:v>
      </x:c>
      <x:c r="K4" s="89" t="str">
        <x:v>Gross Profit at Official Price</x:v>
      </x:c>
      <x:c r="L4" s="89" t="str">
        <x:v>Actual GM %</x:v>
      </x:c>
      <x:c r="M4" s="89" t="str">
        <x:v>Market Avg</x:v>
      </x:c>
      <x:c r="N4" s="89" t="str">
        <x:v>Client Savings vs Market</x:v>
      </x:c>
      <x:c r="O4" s="89" t="str">
        <x:v>Savings %</x:v>
      </x:c>
      <x:c r="P4" s="89" t="str">
        <x:v>Finance Note</x:v>
      </x:c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8" t="str">
        <x:f>'Operating Assumptions'!A5</x:f>
        <x:v>Essential Presence</x:v>
      </x:c>
      <x:c r="B5" s="103" t="n">
        <x:f>'Operating Assumptions'!I5</x:f>
        <x:v>1000</x:v>
      </x:c>
      <x:c r="C5" s="108" t="n">
        <x:f>'Operating Assumptions'!B5</x:f>
        <x:v>5</x:v>
      </x:c>
      <x:c r="D5" s="108" t="n">
        <x:f>'Operating Assumptions'!C5</x:f>
        <x:v>14</x:v>
      </x:c>
      <x:c r="E5" s="108" t="n">
        <x:f>'Operating Assumptions'!D5</x:f>
        <x:v>3</x:v>
      </x:c>
      <x:c r="F5" s="103" t="n">
        <x:f>'Operating Assumptions'!E5</x:f>
        <x:v>20</x:v>
      </x:c>
      <x:c r="G5" s="103" t="n">
        <x:f>'Operating Assumptions'!F5</x:f>
        <x:v>60</x:v>
      </x:c>
      <x:c r="H5" s="96" t="n">
        <x:f>SUM(C5:E5)*F5+G5</x:f>
        <x:v>500</x:v>
      </x:c>
      <x:c r="I5" s="97" t="n">
        <x:f>'Operating Assumptions'!G5</x:f>
        <x:v>0.45</x:v>
      </x:c>
      <x:c r="J5" s="96" t="n">
        <x:f>H5/(1-I5)</x:f>
        <x:v>909.090909090909</x:v>
      </x:c>
      <x:c r="K5" s="96" t="n">
        <x:f>B5-H5</x:f>
        <x:v>500</x:v>
      </x:c>
      <x:c r="L5" s="97" t="n">
        <x:f>K5/B5</x:f>
        <x:v>0.5</x:v>
      </x:c>
      <x:c r="M5" s="103" t="n">
        <x:f>'Official Website Inputs'!F5</x:f>
        <x:v>3500</x:v>
      </x:c>
      <x:c r="N5" s="96" t="n">
        <x:f>M5-B5</x:f>
        <x:v>2500</x:v>
      </x:c>
      <x:c r="O5" s="97" t="n">
        <x:f>1-B5/M5</x:f>
        <x:v>0.7142857142857143</x:v>
      </x:c>
      <x:c r="P5" s="88" t="str">
        <x:v>Official price clears the model's required price and creates an accessible entry point for small businesses.</x:v>
      </x:c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8" t="str">
        <x:f>'Operating Assumptions'!A6</x:f>
        <x:v>Growth Standard</x:v>
      </x:c>
      <x:c r="B6" s="103" t="n">
        <x:f>'Operating Assumptions'!I6</x:f>
        <x:v>2500</x:v>
      </x:c>
      <x:c r="C6" s="108" t="n">
        <x:f>'Operating Assumptions'!B6</x:f>
        <x:v>12</x:v>
      </x:c>
      <x:c r="D6" s="108" t="n">
        <x:f>'Operating Assumptions'!C6</x:f>
        <x:v>30</x:v>
      </x:c>
      <x:c r="E6" s="108" t="n">
        <x:f>'Operating Assumptions'!D6</x:f>
        <x:v>6</x:v>
      </x:c>
      <x:c r="F6" s="103" t="n">
        <x:f>'Operating Assumptions'!E6</x:f>
        <x:v>25</x:v>
      </x:c>
      <x:c r="G6" s="103" t="n">
        <x:f>'Operating Assumptions'!F6</x:f>
        <x:v>125</x:v>
      </x:c>
      <x:c r="H6" s="96" t="n">
        <x:f>SUM(C6:E6)*F6+G6</x:f>
        <x:v>1325</x:v>
      </x:c>
      <x:c r="I6" s="97" t="n">
        <x:f>'Operating Assumptions'!G6</x:f>
        <x:v>0.45</x:v>
      </x:c>
      <x:c r="J6" s="96" t="n">
        <x:f>H6/(1-I6)</x:f>
        <x:v>2409.090909090909</x:v>
      </x:c>
      <x:c r="K6" s="96" t="n">
        <x:f>B6-H6</x:f>
        <x:v>1175</x:v>
      </x:c>
      <x:c r="L6" s="97" t="n">
        <x:f>K6/B6</x:f>
        <x:v>0.47</x:v>
      </x:c>
      <x:c r="M6" s="103" t="n">
        <x:f>'Official Website Inputs'!F6</x:f>
        <x:v>8500</x:v>
      </x:c>
      <x:c r="N6" s="96" t="n">
        <x:f>M6-B6</x:f>
        <x:v>6000</x:v>
      </x:c>
      <x:c r="O6" s="97" t="n">
        <x:f>1-B6/M6</x:f>
        <x:v>0.7058823529411764</x:v>
      </x:c>
      <x:c r="P6" s="88" t="str">
        <x:v>Most Popular official package; strongest balance of margin, market discount, and business value.</x:v>
      </x:c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8" t="str">
        <x:f>'Operating Assumptions'!A7</x:f>
        <x:v>Enterprise Logic</x:v>
      </x:c>
      <x:c r="B7" s="103" t="n">
        <x:f>'Operating Assumptions'!I7</x:f>
        <x:v>5000</x:v>
      </x:c>
      <x:c r="C7" s="108" t="n">
        <x:f>'Operating Assumptions'!B7</x:f>
        <x:v>20</x:v>
      </x:c>
      <x:c r="D7" s="108" t="n">
        <x:f>'Operating Assumptions'!C7</x:f>
        <x:v>60</x:v>
      </x:c>
      <x:c r="E7" s="108" t="n">
        <x:f>'Operating Assumptions'!D7</x:f>
        <x:v>12</x:v>
      </x:c>
      <x:c r="F7" s="103" t="n">
        <x:f>'Operating Assumptions'!E7</x:f>
        <x:v>30</x:v>
      </x:c>
      <x:c r="G7" s="103" t="n">
        <x:f>'Operating Assumptions'!F7</x:f>
        <x:v>300</x:v>
      </x:c>
      <x:c r="H7" s="96" t="n">
        <x:f>SUM(C7:E7)*F7+G7</x:f>
        <x:v>3060</x:v>
      </x:c>
      <x:c r="I7" s="97" t="n">
        <x:f>'Operating Assumptions'!G7</x:f>
        <x:v>0.4</x:v>
      </x:c>
      <x:c r="J7" s="96" t="n">
        <x:f>H7/(1-I7)</x:f>
        <x:v>5100</x:v>
      </x:c>
      <x:c r="K7" s="96" t="n">
        <x:f>B7-H7</x:f>
        <x:v>1940</x:v>
      </x:c>
      <x:c r="L7" s="97" t="n">
        <x:f>K7/B7</x:f>
        <x:v>0.388</x:v>
      </x:c>
      <x:c r="M7" s="103" t="n">
        <x:f>'Official Website Inputs'!F7</x:f>
        <x:v>18000</x:v>
      </x:c>
      <x:c r="N7" s="96" t="n">
        <x:f>M7-B7</x:f>
        <x:v>13000</x:v>
      </x:c>
      <x:c r="O7" s="97" t="n">
        <x:f>1-B7/M7</x:f>
        <x:v>0.7222222222222222</x:v>
      </x:c>
      <x:c r="P7" s="88" t="str">
        <x:v>Official site lists this as $5,000+; minimum price should be treated as a starting point and adjusted upward for scope.</x:v>
      </x:c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8"/>
      <x:c r="B8" s="88"/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8"/>
      <x:c r="B9" s="88"/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109" t="str">
        <x:v>Recommendation Summary</x:v>
      </x:c>
      <x:c r="B10" s="109"/>
      <x:c r="C10" s="109"/>
      <x:c r="D10" s="109"/>
      <x:c r="E10" s="109"/>
      <x:c r="F10" s="109"/>
      <x:c r="G10" s="109"/>
      <x:c r="H10" s="109"/>
      <x:c r="I10" s="109"/>
      <x:c r="J10" s="109"/>
      <x:c r="K10" s="109"/>
      <x:c r="L10" s="109"/>
      <x:c r="M10" s="109"/>
      <x:c r="N10" s="109"/>
      <x:c r="O10" s="109"/>
      <x:c r="P10" s="109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7" t="str">
        <x:v>Official entry package price</x:v>
      </x:c>
      <x:c r="B11" s="96" t="n">
        <x:f>B5</x:f>
        <x:v>1000</x:v>
      </x:c>
      <x:c r="C11" s="88" t="str">
        <x:v>Essential Presence starting price</x:v>
      </x:c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7" t="str">
        <x:v>Most popular package price</x:v>
      </x:c>
      <x:c r="B12" s="96" t="n">
        <x:f>B6</x:f>
        <x:v>2500</x:v>
      </x:c>
      <x:c r="C12" s="88" t="str">
        <x:v>Growth Standard official price</x:v>
      </x:c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7" t="str">
        <x:v>Enterprise starting price</x:v>
      </x:c>
      <x:c r="B13" s="96" t="n">
        <x:f>B7</x:f>
        <x:v>5000</x:v>
      </x:c>
      <x:c r="C13" s="88" t="str">
        <x:v>Enterprise Logic starts at this price before scope adjustment</x:v>
      </x:c>
      <x:c r="D13" s="88"/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7" t="str">
        <x:v>Average new-build gross margin</x:v>
      </x:c>
      <x:c r="B14" s="97" t="n">
        <x:f>AVERAGE(L5:L7)</x:f>
        <x:v>0.4526666666666667</x:v>
      </x:c>
      <x:c r="C14" s="88" t="str">
        <x:v>Average of actual package-level gross margins</x:v>
      </x:c>
      <x:c r="D14" s="88"/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7" t="str">
        <x:v>Average client savings vs market</x:v>
      </x:c>
      <x:c r="B15" s="97" t="n">
        <x:f>AVERAGE(O5:O7)</x:f>
        <x:v>0.7141300964830376</x:v>
      </x:c>
      <x:c r="C15" s="88" t="str">
        <x:v>Average savings relative to website-stated market averages</x:v>
      </x:c>
      <x:c r="D15" s="88"/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P1"/>
    <x:mergeCell ref="A2:P2"/>
    <x:mergeCell ref="A10:P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" hidden="0" customWidth="1"/>
    <x:col min="3" max="3" width="11" hidden="0" customWidth="1"/>
    <x:col min="4" max="4" width="14" hidden="0" customWidth="1"/>
    <x:col min="5" max="5" width="14" hidden="0" customWidth="1"/>
    <x:col min="6" max="6" width="12" hidden="0" customWidth="1"/>
    <x:col min="7" max="7" width="12" hidden="0" customWidth="1"/>
    <x:col min="8" max="8" width="14" hidden="0" customWidth="1"/>
    <x:col min="9" max="9" width="13" hidden="0" customWidth="1"/>
    <x:col min="10" max="10" width="13" hidden="0" customWidth="1"/>
    <x:col min="11" max="11" width="13" hidden="0" customWidth="1"/>
    <x:col min="12" max="12" width="38" hidden="0" customWidth="1"/>
    <x:col min="13" max="13" width="38" hidden="0" customWidth="1"/>
    <x:col min="14" max="14" width="31" hidden="0" customWidth="1"/>
  </x:cols>
  <x:sheetData>
    <x:row r="1" ht="28" customHeight="1">
      <x:c r="A1" s="84" t="str">
        <x:v>Modification Tiers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Official Higgins Digital modification and transformation tiers with estimated labor, direct cost, and margin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Tier</x:v>
      </x:c>
      <x:c r="B4" s="89" t="str">
        <x:v>Low Price</x:v>
      </x:c>
      <x:c r="C4" s="89" t="str">
        <x:v>High Price</x:v>
      </x:c>
      <x:c r="D4" s="89" t="str">
        <x:v>Model Midpoint</x:v>
      </x:c>
      <x:c r="E4" s="89" t="str">
        <x:v>Turnaround</x:v>
      </x:c>
      <x:c r="F4" s="89" t="str">
        <x:v>Estimated Hrs</x:v>
      </x:c>
      <x:c r="G4" s="89" t="str">
        <x:v>Hourly Cost</x:v>
      </x:c>
      <x:c r="H4" s="89" t="str">
        <x:v>Tool / Asset Cost</x:v>
      </x:c>
      <x:c r="I4" s="89" t="str">
        <x:v>Direct Cost</x:v>
      </x:c>
      <x:c r="J4" s="89" t="str">
        <x:v>Gross Profit</x:v>
      </x:c>
      <x:c r="K4" s="89" t="str">
        <x:v>Gross Margin %</x:v>
      </x:c>
      <x:c r="L4" s="89" t="str">
        <x:v>Scope / Included Work</x:v>
      </x:c>
      <x:c r="M4" s="89" t="str">
        <x:v>Finance Note</x:v>
      </x:c>
      <x:c r="N4" s="89" t="str">
        <x:v>Source URL</x:v>
      </x:c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8" t="str">
        <x:v>Quick Fix</x:v>
      </x:c>
      <x:c r="B5" s="101" t="n">
        <x:v>150</x:v>
      </x:c>
      <x:c r="C5" s="101" t="n">
        <x:v>350</x:v>
      </x:c>
      <x:c r="D5" s="101" t="n">
        <x:f>AVERAGE(B5:C5)</x:f>
        <x:v>250</x:v>
      </x:c>
      <x:c r="E5" s="100" t="str">
        <x:v>1-3 days</x:v>
      </x:c>
      <x:c r="F5" s="112" t="n">
        <x:v>5</x:v>
      </x:c>
      <x:c r="G5" s="101" t="n">
        <x:v>20</x:v>
      </x:c>
      <x:c r="H5" s="101" t="n">
        <x:v>20</x:v>
      </x:c>
      <x:c r="I5" s="96" t="n">
        <x:f>F5*G5+H5</x:f>
        <x:v>120</x:v>
      </x:c>
      <x:c r="J5" s="96" t="n">
        <x:f>D5-I5</x:f>
        <x:v>130</x:v>
      </x:c>
      <x:c r="K5" s="97" t="n">
        <x:f>J5/D5</x:f>
        <x:v>0.52</x:v>
      </x:c>
      <x:c r="L5" s="88" t="str">
        <x:v>Copy/image swaps, color/font updates, form/contact edits, minor layout tweaks.</x:v>
      </x:c>
      <x:c r="M5" s="88" t="str">
        <x:v>Best for quick low-friction revenue; scope control is important.</x:v>
      </x:c>
      <x:c r="N5" s="88" t="str">
        <x:v>https://higginsd.com/pricing</x:v>
      </x:c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8" t="str">
        <x:v>Standard Mod</x:v>
      </x:c>
      <x:c r="B6" s="101" t="n">
        <x:v>350</x:v>
      </x:c>
      <x:c r="C6" s="101" t="n">
        <x:v>800</x:v>
      </x:c>
      <x:c r="D6" s="101" t="n">
        <x:f>AVERAGE(B6:C6)</x:f>
        <x:v>575</x:v>
      </x:c>
      <x:c r="E6" s="100" t="str">
        <x:v>3-5 days</x:v>
      </x:c>
      <x:c r="F6" s="112" t="n">
        <x:v>12</x:v>
      </x:c>
      <x:c r="G6" s="101" t="n">
        <x:v>22</x:v>
      </x:c>
      <x:c r="H6" s="101" t="n">
        <x:v>35</x:v>
      </x:c>
      <x:c r="I6" s="96" t="n">
        <x:f>F6*G6+H6</x:f>
        <x:v>299</x:v>
      </x:c>
      <x:c r="J6" s="96" t="n">
        <x:f>D6-I6</x:f>
        <x:v>276</x:v>
      </x:c>
      <x:c r="K6" s="97" t="n">
        <x:f>J6/D6</x:f>
        <x:v>0.48</x:v>
      </x:c>
      <x:c r="L6" s="88" t="str">
        <x:v>New page additions, section redesigns, navigation restructure, CTA/conversion updates.</x:v>
      </x:c>
      <x:c r="M6" s="88" t="str">
        <x:v>Bridge between minor updates and larger transformations.</x:v>
      </x:c>
      <x:c r="N6" s="88" t="str">
        <x:v>https://higginsd.com/pricing</x:v>
      </x:c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8" t="str">
        <x:v>Advanced Mod</x:v>
      </x:c>
      <x:c r="B7" s="101" t="n">
        <x:v>800</x:v>
      </x:c>
      <x:c r="C7" s="101" t="n">
        <x:v>1500</x:v>
      </x:c>
      <x:c r="D7" s="101" t="n">
        <x:f>AVERAGE(B7:C7)</x:f>
        <x:v>1150</x:v>
      </x:c>
      <x:c r="E7" s="100" t="str">
        <x:v>5-10 days</x:v>
      </x:c>
      <x:c r="F7" s="112" t="n">
        <x:v>24</x:v>
      </x:c>
      <x:c r="G7" s="101" t="n">
        <x:v>25</x:v>
      </x:c>
      <x:c r="H7" s="101" t="n">
        <x:v>65</x:v>
      </x:c>
      <x:c r="I7" s="96" t="n">
        <x:f>F7*G7+H7</x:f>
        <x:v>665</x:v>
      </x:c>
      <x:c r="J7" s="96" t="n">
        <x:f>D7-I7</x:f>
        <x:v>485</x:v>
      </x:c>
      <x:c r="K7" s="97" t="n">
        <x:f>J7/D7</x:f>
        <x:v>0.4217391304347826</x:v>
      </x:c>
      <x:c r="L7" s="88" t="str">
        <x:v>Full section rebuilds, animation additions, performance audit/fixes, SEO overhaul.</x:v>
      </x:c>
      <x:c r="M7" s="88" t="str">
        <x:v>Profitable if scope is contained and changes are batched.</x:v>
      </x:c>
      <x:c r="N7" s="88" t="str">
        <x:v>https://higginsd.com/pricing</x:v>
      </x:c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8" t="str">
        <x:v>Full Transformation</x:v>
      </x:c>
      <x:c r="B8" s="101" t="n">
        <x:v>1500</x:v>
      </x:c>
      <x:c r="C8" s="101" t="n">
        <x:v>3000</x:v>
      </x:c>
      <x:c r="D8" s="101" t="n">
        <x:f>AVERAGE(B8:C8)</x:f>
        <x:v>2250</x:v>
      </x:c>
      <x:c r="E8" s="100" t="str">
        <x:v>2-4 weeks</x:v>
      </x:c>
      <x:c r="F8" s="112" t="n">
        <x:v>46</x:v>
      </x:c>
      <x:c r="G8" s="101" t="n">
        <x:v>28</x:v>
      </x:c>
      <x:c r="H8" s="101" t="n">
        <x:v>125</x:v>
      </x:c>
      <x:c r="I8" s="96" t="n">
        <x:f>F8*G8+H8</x:f>
        <x:v>1413</x:v>
      </x:c>
      <x:c r="J8" s="96" t="n">
        <x:f>D8-I8</x:f>
        <x:v>837</x:v>
      </x:c>
      <x:c r="K8" s="97" t="n">
        <x:f>J8/D8</x:f>
        <x:v>0.372</x:v>
      </x:c>
      <x:c r="L8" s="88" t="str">
        <x:v>Complete visual redesign, brand system overhaul, architecture rebuild, domain transition support.</x:v>
      </x:c>
      <x:c r="M8" s="88" t="str">
        <x:v>High-value conversion project; quote should flex with pages and domain complexity.</x:v>
      </x:c>
      <x:c r="N8" s="88" t="str">
        <x:v>https://higginsd.com/pricing</x:v>
      </x:c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5"/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5"/>
      <x:c r="B10" s="85"/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5"/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N1"/>
    <x:mergeCell ref="A2:N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1" hidden="0" customWidth="1"/>
    <x:col min="4" max="4" width="13" hidden="0" customWidth="1"/>
    <x:col min="5" max="5" width="12" hidden="0" customWidth="1"/>
    <x:col min="6" max="6" width="14" hidden="0" customWidth="1"/>
    <x:col min="7" max="7" width="15" hidden="0" customWidth="1"/>
    <x:col min="8" max="8" width="20" hidden="0" customWidth="1"/>
    <x:col min="9" max="9" width="14" hidden="0" customWidth="1"/>
    <x:col min="10" max="10" width="13" hidden="0" customWidth="1"/>
    <x:col min="11" max="11" width="12" hidden="0" customWidth="1"/>
    <x:col min="12" max="12" width="12" hidden="0" customWidth="1"/>
    <x:col min="13" max="13" width="13" hidden="0" customWidth="1"/>
    <x:col min="14" max="14" width="13" hidden="0" customWidth="1"/>
  </x:cols>
  <x:sheetData>
    <x:row r="1" ht="28" customHeight="1">
      <x:c r="A1" s="84" t="str">
        <x:v>Scenario Analysis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4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Conservative, Base, and Growth operating cases using official Higgins Digital package prices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6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Scenario</x:v>
      </x:c>
      <x:c r="B4" s="89" t="str">
        <x:v>Essential/mo</x:v>
      </x:c>
      <x:c r="C4" s="89" t="str">
        <x:v>Growth/mo</x:v>
      </x:c>
      <x:c r="D4" s="89" t="str">
        <x:v>Enterprise/mo</x:v>
      </x:c>
      <x:c r="E4" s="89" t="str">
        <x:v>Quick Fix/mo</x:v>
      </x:c>
      <x:c r="F4" s="89" t="str">
        <x:v>Standard Mod/mo</x:v>
      </x:c>
      <x:c r="G4" s="89" t="str">
        <x:v>Advanced Mod/mo</x:v>
      </x:c>
      <x:c r="H4" s="89" t="str">
        <x:v>Full Transformation/mo</x:v>
      </x:c>
      <x:c r="I4" s="89" t="str">
        <x:v>Total Revenue</x:v>
      </x:c>
      <x:c r="J4" s="89" t="str">
        <x:v>Direct Costs</x:v>
      </x:c>
      <x:c r="K4" s="89" t="str">
        <x:v>Fixed Costs</x:v>
      </x:c>
      <x:c r="L4" s="89" t="str">
        <x:v>Tax Reserve</x:v>
      </x:c>
      <x:c r="M4" s="89" t="str">
        <x:v>Net Cash Flow</x:v>
      </x:c>
      <x:c r="N4" s="89" t="str">
        <x:v>Gross Margin %</x:v>
      </x:c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5" t="str">
        <x:v>Conservative</x:v>
      </x:c>
      <x:c r="B5" s="114" t="n">
        <x:v>1</x:v>
      </x:c>
      <x:c r="C5" s="114" t="n">
        <x:v>0.25</x:v>
      </x:c>
      <x:c r="D5" s="114" t="n">
        <x:v>0</x:v>
      </x:c>
      <x:c r="E5" s="114" t="n">
        <x:v>2</x:v>
      </x:c>
      <x:c r="F5" s="114" t="n">
        <x:v>1</x:v>
      </x:c>
      <x:c r="G5" s="114" t="n">
        <x:v>0</x:v>
      </x:c>
      <x:c r="H5" s="114" t="n">
        <x:v>0</x:v>
      </x:c>
      <x:c r="I5" s="115" t="n">
        <x:f>B5*'Pricing Model'!B5+C5*'Pricing Model'!B6+D5*'Pricing Model'!B7+E5*'Modification Tiers'!D5+F5*'Modification Tiers'!D6+G5*'Modification Tiers'!D7+H5*'Modification Tiers'!D8</x:f>
        <x:v>2700</x:v>
      </x:c>
      <x:c r="J5" s="115" t="n">
        <x:f>B5*'Pricing Model'!H5+C5*'Pricing Model'!H6+D5*'Pricing Model'!H7+E5*'Modification Tiers'!I5+F5*'Modification Tiers'!I6+G5*'Modification Tiers'!I7+H5*'Modification Tiers'!I8</x:f>
        <x:v>1370.25</x:v>
      </x:c>
      <x:c r="K5" s="115" t="n">
        <x:f>'Operating Assumptions'!B16</x:f>
        <x:v>378</x:v>
      </x:c>
      <x:c r="L5" s="115" t="n">
        <x:f>MAX(0,(I5-J5-K5)*'Operating Assumptions'!B20)</x:f>
        <x:v>190.35000000000002</x:v>
      </x:c>
      <x:c r="M5" s="115" t="n">
        <x:f>I5-J5-K5-L5</x:f>
        <x:v>761.4</x:v>
      </x:c>
      <x:c r="N5" s="116" t="n">
        <x:f>IFERROR((I5-J5)/I5,0)</x:f>
        <x:v>0.4925</x:v>
      </x:c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5" t="str">
        <x:v>Base</x:v>
      </x:c>
      <x:c r="B6" s="114" t="n">
        <x:v>1</x:v>
      </x:c>
      <x:c r="C6" s="114" t="n">
        <x:v>1</x:v>
      </x:c>
      <x:c r="D6" s="114" t="n">
        <x:v>0.25</x:v>
      </x:c>
      <x:c r="E6" s="114" t="n">
        <x:v>4</x:v>
      </x:c>
      <x:c r="F6" s="114" t="n">
        <x:v>2</x:v>
      </x:c>
      <x:c r="G6" s="114" t="n">
        <x:v>1</x:v>
      </x:c>
      <x:c r="H6" s="114" t="n">
        <x:v>0.25</x:v>
      </x:c>
      <x:c r="I6" s="115" t="n">
        <x:f>B6*'Pricing Model'!B5+C6*'Pricing Model'!B6+D6*'Pricing Model'!B7+E6*'Modification Tiers'!D5+F6*'Modification Tiers'!D6+G6*'Modification Tiers'!D7+H6*'Modification Tiers'!D8</x:f>
        <x:v>8612.5</x:v>
      </x:c>
      <x:c r="J6" s="115" t="n">
        <x:f>B6*'Pricing Model'!H5+C6*'Pricing Model'!H6+D6*'Pricing Model'!H7+E6*'Modification Tiers'!I5+F6*'Modification Tiers'!I6+G6*'Modification Tiers'!I7+H6*'Modification Tiers'!I8</x:f>
        <x:v>4686.25</x:v>
      </x:c>
      <x:c r="K6" s="115" t="n">
        <x:f>'Operating Assumptions'!B16</x:f>
        <x:v>378</x:v>
      </x:c>
      <x:c r="L6" s="115" t="n">
        <x:f>MAX(0,(I6-J6-K6)*'Operating Assumptions'!B20)</x:f>
        <x:v>709.6500000000001</x:v>
      </x:c>
      <x:c r="M6" s="115" t="n">
        <x:f>I6-J6-K6-L6</x:f>
        <x:v>2838.6</x:v>
      </x:c>
      <x:c r="N6" s="116" t="n">
        <x:f>IFERROR((I6-J6)/I6,0)</x:f>
        <x:v>0.455878084179971</x:v>
      </x:c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5" t="str">
        <x:v>Growth</x:v>
      </x:c>
      <x:c r="B7" s="114" t="n">
        <x:v>2</x:v>
      </x:c>
      <x:c r="C7" s="114" t="n">
        <x:v>2</x:v>
      </x:c>
      <x:c r="D7" s="114" t="n">
        <x:v>0.5</x:v>
      </x:c>
      <x:c r="E7" s="114" t="n">
        <x:v>6</x:v>
      </x:c>
      <x:c r="F7" s="114" t="n">
        <x:v>3</x:v>
      </x:c>
      <x:c r="G7" s="114" t="n">
        <x:v>2</x:v>
      </x:c>
      <x:c r="H7" s="114" t="n">
        <x:v>1</x:v>
      </x:c>
      <x:c r="I7" s="115" t="n">
        <x:f>B7*'Pricing Model'!B5+C7*'Pricing Model'!B6+D7*'Pricing Model'!B7+E7*'Modification Tiers'!D5+F7*'Modification Tiers'!D6+G7*'Modification Tiers'!D7+H7*'Modification Tiers'!D8</x:f>
        <x:v>17275</x:v>
      </x:c>
      <x:c r="J7" s="115" t="n">
        <x:f>B7*'Pricing Model'!H5+C7*'Pricing Model'!H6+D7*'Pricing Model'!H7+E7*'Modification Tiers'!I5+F7*'Modification Tiers'!I6+G7*'Modification Tiers'!I7+H7*'Modification Tiers'!I8</x:f>
        <x:v>9540</x:v>
      </x:c>
      <x:c r="K7" s="115" t="n">
        <x:f>'Operating Assumptions'!B16</x:f>
        <x:v>378</x:v>
      </x:c>
      <x:c r="L7" s="115" t="n">
        <x:f>MAX(0,(I7-J7-K7)*'Operating Assumptions'!B20)</x:f>
        <x:v>1471.4</x:v>
      </x:c>
      <x:c r="M7" s="115" t="n">
        <x:f>I7-J7-K7-L7</x:f>
        <x:v>5885.6</x:v>
      </x:c>
      <x:c r="N7" s="116" t="n">
        <x:f>IFERROR((I7-J7)/I7,0)</x:f>
        <x:v>0.44775687409551373</x:v>
      </x:c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5"/>
      <x:c r="B8" s="85"/>
      <x:c r="C8" s="85"/>
      <x:c r="D8" s="85"/>
      <x:c r="E8" s="85"/>
      <x:c r="F8" s="85"/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5"/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5"/>
      <x:c r="B10" s="85"/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5"/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8" customHeight="1">
      <x:c r="A1" s="84" t="str">
        <x:v>12-Month Cash Flow Forecast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4"/>
      <x:c r="L1" s="84"/>
      <x:c r="M1" s="84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Base scenario monthly forecast using official Higgins Digital package prices and editable operating assumptions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6"/>
      <x:c r="L2" s="86"/>
      <x:c r="M2" s="86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Line Item</x:v>
      </x:c>
      <x:c r="B4" s="89" t="str">
        <x:v>M1</x:v>
      </x:c>
      <x:c r="C4" s="89" t="str">
        <x:v>M2</x:v>
      </x:c>
      <x:c r="D4" s="89" t="str">
        <x:v>M3</x:v>
      </x:c>
      <x:c r="E4" s="89" t="str">
        <x:v>M4</x:v>
      </x:c>
      <x:c r="F4" s="89" t="str">
        <x:v>M5</x:v>
      </x:c>
      <x:c r="G4" s="89" t="str">
        <x:v>M6</x:v>
      </x:c>
      <x:c r="H4" s="89" t="str">
        <x:v>M7</x:v>
      </x:c>
      <x:c r="I4" s="89" t="str">
        <x:v>M8</x:v>
      </x:c>
      <x:c r="J4" s="89" t="str">
        <x:v>M9</x:v>
      </x:c>
      <x:c r="K4" s="89" t="str">
        <x:v>M10</x:v>
      </x:c>
      <x:c r="L4" s="89" t="str">
        <x:v>M11</x:v>
      </x:c>
      <x:c r="M4" s="89" t="str">
        <x:v>M12</x:v>
      </x:c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120" t="str">
        <x:v>Beginning Cash</x:v>
      </x:c>
      <x:c r="B5" s="115" t="n">
        <x:f>'Operating Assumptions'!B21</x:f>
        <x:v>1500</x:v>
      </x:c>
      <x:c r="C5" s="115" t="n">
        <x:f>B19</x:f>
        <x:v>4338.6</x:v>
      </x:c>
      <x:c r="D5" s="115" t="n">
        <x:f>C19</x:f>
        <x:v>7177.200000000001</x:v>
      </x:c>
      <x:c r="E5" s="115" t="n">
        <x:f>D19</x:f>
        <x:v>10015.800000000001</x:v>
      </x:c>
      <x:c r="F5" s="115" t="n">
        <x:f>E19</x:f>
        <x:v>12854.400000000001</x:v>
      </x:c>
      <x:c r="G5" s="115" t="n">
        <x:f>F19</x:f>
        <x:v>15693.000000000002</x:v>
      </x:c>
      <x:c r="H5" s="115" t="n">
        <x:f>G19</x:f>
        <x:v>18531.600000000002</x:v>
      </x:c>
      <x:c r="I5" s="115" t="n">
        <x:f>H19</x:f>
        <x:v>21370.2</x:v>
      </x:c>
      <x:c r="J5" s="115" t="n">
        <x:f>I19</x:f>
        <x:v>24208.8</x:v>
      </x:c>
      <x:c r="K5" s="115" t="n">
        <x:f>J19</x:f>
        <x:v>27047.399999999998</x:v>
      </x:c>
      <x:c r="L5" s="115" t="n">
        <x:f>K19</x:f>
        <x:v>29885.999999999996</x:v>
      </x:c>
      <x:c r="M5" s="115" t="n">
        <x:f>L19</x:f>
        <x:v>32724.599999999995</x:v>
      </x:c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120" t="str">
        <x:v>Essential Projects</x:v>
      </x:c>
      <x:c r="B6" s="121" t="n">
        <x:f>'Scenario Analysis'!B6</x:f>
        <x:v>1</x:v>
      </x:c>
      <x:c r="C6" s="121" t="n">
        <x:f>'Scenario Analysis'!B6</x:f>
        <x:v>1</x:v>
      </x:c>
      <x:c r="D6" s="121" t="n">
        <x:f>'Scenario Analysis'!B6</x:f>
        <x:v>1</x:v>
      </x:c>
      <x:c r="E6" s="121" t="n">
        <x:f>'Scenario Analysis'!B6</x:f>
        <x:v>1</x:v>
      </x:c>
      <x:c r="F6" s="121" t="n">
        <x:f>'Scenario Analysis'!B6</x:f>
        <x:v>1</x:v>
      </x:c>
      <x:c r="G6" s="121" t="n">
        <x:f>'Scenario Analysis'!B6</x:f>
        <x:v>1</x:v>
      </x:c>
      <x:c r="H6" s="121" t="n">
        <x:f>'Scenario Analysis'!B6</x:f>
        <x:v>1</x:v>
      </x:c>
      <x:c r="I6" s="121" t="n">
        <x:f>'Scenario Analysis'!B6</x:f>
        <x:v>1</x:v>
      </x:c>
      <x:c r="J6" s="121" t="n">
        <x:f>'Scenario Analysis'!B6</x:f>
        <x:v>1</x:v>
      </x:c>
      <x:c r="K6" s="121" t="n">
        <x:f>'Scenario Analysis'!B6</x:f>
        <x:v>1</x:v>
      </x:c>
      <x:c r="L6" s="121" t="n">
        <x:f>'Scenario Analysis'!B6</x:f>
        <x:v>1</x:v>
      </x:c>
      <x:c r="M6" s="121" t="n">
        <x:f>'Scenario Analysis'!B6</x:f>
        <x:v>1</x:v>
      </x:c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120" t="str">
        <x:v>Growth Projects</x:v>
      </x:c>
      <x:c r="B7" s="121" t="n">
        <x:f>'Scenario Analysis'!C6</x:f>
        <x:v>1</x:v>
      </x:c>
      <x:c r="C7" s="121" t="n">
        <x:f>'Scenario Analysis'!C6</x:f>
        <x:v>1</x:v>
      </x:c>
      <x:c r="D7" s="121" t="n">
        <x:f>'Scenario Analysis'!C6</x:f>
        <x:v>1</x:v>
      </x:c>
      <x:c r="E7" s="121" t="n">
        <x:f>'Scenario Analysis'!C6</x:f>
        <x:v>1</x:v>
      </x:c>
      <x:c r="F7" s="121" t="n">
        <x:f>'Scenario Analysis'!C6</x:f>
        <x:v>1</x:v>
      </x:c>
      <x:c r="G7" s="121" t="n">
        <x:f>'Scenario Analysis'!C6</x:f>
        <x:v>1</x:v>
      </x:c>
      <x:c r="H7" s="121" t="n">
        <x:f>'Scenario Analysis'!C6</x:f>
        <x:v>1</x:v>
      </x:c>
      <x:c r="I7" s="121" t="n">
        <x:f>'Scenario Analysis'!C6</x:f>
        <x:v>1</x:v>
      </x:c>
      <x:c r="J7" s="121" t="n">
        <x:f>'Scenario Analysis'!C6</x:f>
        <x:v>1</x:v>
      </x:c>
      <x:c r="K7" s="121" t="n">
        <x:f>'Scenario Analysis'!C6</x:f>
        <x:v>1</x:v>
      </x:c>
      <x:c r="L7" s="121" t="n">
        <x:f>'Scenario Analysis'!C6</x:f>
        <x:v>1</x:v>
      </x:c>
      <x:c r="M7" s="121" t="n">
        <x:f>'Scenario Analysis'!C6</x:f>
        <x:v>1</x:v>
      </x:c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120" t="str">
        <x:v>Enterprise Projects</x:v>
      </x:c>
      <x:c r="B8" s="121" t="n">
        <x:f>'Scenario Analysis'!D6</x:f>
        <x:v>0.25</x:v>
      </x:c>
      <x:c r="C8" s="121" t="n">
        <x:f>'Scenario Analysis'!D6</x:f>
        <x:v>0.25</x:v>
      </x:c>
      <x:c r="D8" s="121" t="n">
        <x:f>'Scenario Analysis'!D6</x:f>
        <x:v>0.25</x:v>
      </x:c>
      <x:c r="E8" s="121" t="n">
        <x:f>'Scenario Analysis'!D6</x:f>
        <x:v>0.25</x:v>
      </x:c>
      <x:c r="F8" s="121" t="n">
        <x:f>'Scenario Analysis'!D6</x:f>
        <x:v>0.25</x:v>
      </x:c>
      <x:c r="G8" s="121" t="n">
        <x:f>'Scenario Analysis'!D6</x:f>
        <x:v>0.25</x:v>
      </x:c>
      <x:c r="H8" s="121" t="n">
        <x:f>'Scenario Analysis'!D6</x:f>
        <x:v>0.25</x:v>
      </x:c>
      <x:c r="I8" s="121" t="n">
        <x:f>'Scenario Analysis'!D6</x:f>
        <x:v>0.25</x:v>
      </x:c>
      <x:c r="J8" s="121" t="n">
        <x:f>'Scenario Analysis'!D6</x:f>
        <x:v>0.25</x:v>
      </x:c>
      <x:c r="K8" s="121" t="n">
        <x:f>'Scenario Analysis'!D6</x:f>
        <x:v>0.25</x:v>
      </x:c>
      <x:c r="L8" s="121" t="n">
        <x:f>'Scenario Analysis'!D6</x:f>
        <x:v>0.25</x:v>
      </x:c>
      <x:c r="M8" s="121" t="n">
        <x:f>'Scenario Analysis'!D6</x:f>
        <x:v>0.25</x:v>
      </x:c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120" t="str">
        <x:v>Quick Fix Mods</x:v>
      </x:c>
      <x:c r="B9" s="121" t="n">
        <x:f>'Scenario Analysis'!E6</x:f>
        <x:v>4</x:v>
      </x:c>
      <x:c r="C9" s="121" t="n">
        <x:f>'Scenario Analysis'!E6</x:f>
        <x:v>4</x:v>
      </x:c>
      <x:c r="D9" s="121" t="n">
        <x:f>'Scenario Analysis'!E6</x:f>
        <x:v>4</x:v>
      </x:c>
      <x:c r="E9" s="121" t="n">
        <x:f>'Scenario Analysis'!E6</x:f>
        <x:v>4</x:v>
      </x:c>
      <x:c r="F9" s="121" t="n">
        <x:f>'Scenario Analysis'!E6</x:f>
        <x:v>4</x:v>
      </x:c>
      <x:c r="G9" s="121" t="n">
        <x:f>'Scenario Analysis'!E6</x:f>
        <x:v>4</x:v>
      </x:c>
      <x:c r="H9" s="121" t="n">
        <x:f>'Scenario Analysis'!E6</x:f>
        <x:v>4</x:v>
      </x:c>
      <x:c r="I9" s="121" t="n">
        <x:f>'Scenario Analysis'!E6</x:f>
        <x:v>4</x:v>
      </x:c>
      <x:c r="J9" s="121" t="n">
        <x:f>'Scenario Analysis'!E6</x:f>
        <x:v>4</x:v>
      </x:c>
      <x:c r="K9" s="121" t="n">
        <x:f>'Scenario Analysis'!E6</x:f>
        <x:v>4</x:v>
      </x:c>
      <x:c r="L9" s="121" t="n">
        <x:f>'Scenario Analysis'!E6</x:f>
        <x:v>4</x:v>
      </x:c>
      <x:c r="M9" s="121" t="n">
        <x:f>'Scenario Analysis'!E6</x:f>
        <x:v>4</x:v>
      </x:c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120" t="str">
        <x:v>Standard Mods</x:v>
      </x:c>
      <x:c r="B10" s="121" t="n">
        <x:f>'Scenario Analysis'!F6</x:f>
        <x:v>2</x:v>
      </x:c>
      <x:c r="C10" s="121" t="n">
        <x:f>'Scenario Analysis'!F6</x:f>
        <x:v>2</x:v>
      </x:c>
      <x:c r="D10" s="121" t="n">
        <x:f>'Scenario Analysis'!F6</x:f>
        <x:v>2</x:v>
      </x:c>
      <x:c r="E10" s="121" t="n">
        <x:f>'Scenario Analysis'!F6</x:f>
        <x:v>2</x:v>
      </x:c>
      <x:c r="F10" s="121" t="n">
        <x:f>'Scenario Analysis'!F6</x:f>
        <x:v>2</x:v>
      </x:c>
      <x:c r="G10" s="121" t="n">
        <x:f>'Scenario Analysis'!F6</x:f>
        <x:v>2</x:v>
      </x:c>
      <x:c r="H10" s="121" t="n">
        <x:f>'Scenario Analysis'!F6</x:f>
        <x:v>2</x:v>
      </x:c>
      <x:c r="I10" s="121" t="n">
        <x:f>'Scenario Analysis'!F6</x:f>
        <x:v>2</x:v>
      </x:c>
      <x:c r="J10" s="121" t="n">
        <x:f>'Scenario Analysis'!F6</x:f>
        <x:v>2</x:v>
      </x:c>
      <x:c r="K10" s="121" t="n">
        <x:f>'Scenario Analysis'!F6</x:f>
        <x:v>2</x:v>
      </x:c>
      <x:c r="L10" s="121" t="n">
        <x:f>'Scenario Analysis'!F6</x:f>
        <x:v>2</x:v>
      </x:c>
      <x:c r="M10" s="121" t="n">
        <x:f>'Scenario Analysis'!F6</x:f>
        <x:v>2</x:v>
      </x:c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120" t="str">
        <x:v>Advanced Mods</x:v>
      </x:c>
      <x:c r="B11" s="121" t="n">
        <x:f>'Scenario Analysis'!G6</x:f>
        <x:v>1</x:v>
      </x:c>
      <x:c r="C11" s="121" t="n">
        <x:f>'Scenario Analysis'!G6</x:f>
        <x:v>1</x:v>
      </x:c>
      <x:c r="D11" s="121" t="n">
        <x:f>'Scenario Analysis'!G6</x:f>
        <x:v>1</x:v>
      </x:c>
      <x:c r="E11" s="121" t="n">
        <x:f>'Scenario Analysis'!G6</x:f>
        <x:v>1</x:v>
      </x:c>
      <x:c r="F11" s="121" t="n">
        <x:f>'Scenario Analysis'!G6</x:f>
        <x:v>1</x:v>
      </x:c>
      <x:c r="G11" s="121" t="n">
        <x:f>'Scenario Analysis'!G6</x:f>
        <x:v>1</x:v>
      </x:c>
      <x:c r="H11" s="121" t="n">
        <x:f>'Scenario Analysis'!G6</x:f>
        <x:v>1</x:v>
      </x:c>
      <x:c r="I11" s="121" t="n">
        <x:f>'Scenario Analysis'!G6</x:f>
        <x:v>1</x:v>
      </x:c>
      <x:c r="J11" s="121" t="n">
        <x:f>'Scenario Analysis'!G6</x:f>
        <x:v>1</x:v>
      </x:c>
      <x:c r="K11" s="121" t="n">
        <x:f>'Scenario Analysis'!G6</x:f>
        <x:v>1</x:v>
      </x:c>
      <x:c r="L11" s="121" t="n">
        <x:f>'Scenario Analysis'!G6</x:f>
        <x:v>1</x:v>
      </x:c>
      <x:c r="M11" s="121" t="n">
        <x:f>'Scenario Analysis'!G6</x:f>
        <x:v>1</x:v>
      </x:c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120" t="str">
        <x:v>Full Transformations</x:v>
      </x:c>
      <x:c r="B12" s="121" t="n">
        <x:f>'Scenario Analysis'!H6</x:f>
        <x:v>0.25</x:v>
      </x:c>
      <x:c r="C12" s="121" t="n">
        <x:f>'Scenario Analysis'!H6</x:f>
        <x:v>0.25</x:v>
      </x:c>
      <x:c r="D12" s="121" t="n">
        <x:f>'Scenario Analysis'!H6</x:f>
        <x:v>0.25</x:v>
      </x:c>
      <x:c r="E12" s="121" t="n">
        <x:f>'Scenario Analysis'!H6</x:f>
        <x:v>0.25</x:v>
      </x:c>
      <x:c r="F12" s="121" t="n">
        <x:f>'Scenario Analysis'!H6</x:f>
        <x:v>0.25</x:v>
      </x:c>
      <x:c r="G12" s="121" t="n">
        <x:f>'Scenario Analysis'!H6</x:f>
        <x:v>0.25</x:v>
      </x:c>
      <x:c r="H12" s="121" t="n">
        <x:f>'Scenario Analysis'!H6</x:f>
        <x:v>0.25</x:v>
      </x:c>
      <x:c r="I12" s="121" t="n">
        <x:f>'Scenario Analysis'!H6</x:f>
        <x:v>0.25</x:v>
      </x:c>
      <x:c r="J12" s="121" t="n">
        <x:f>'Scenario Analysis'!H6</x:f>
        <x:v>0.25</x:v>
      </x:c>
      <x:c r="K12" s="121" t="n">
        <x:f>'Scenario Analysis'!H6</x:f>
        <x:v>0.25</x:v>
      </x:c>
      <x:c r="L12" s="121" t="n">
        <x:f>'Scenario Analysis'!H6</x:f>
        <x:v>0.25</x:v>
      </x:c>
      <x:c r="M12" s="121" t="n">
        <x:f>'Scenario Analysis'!H6</x:f>
        <x:v>0.25</x:v>
      </x:c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120" t="str">
        <x:v>Total Revenue</x:v>
      </x:c>
      <x:c r="B13" s="115" t="n">
        <x:f>'Scenario Analysis'!I6</x:f>
        <x:v>8612.5</x:v>
      </x:c>
      <x:c r="C13" s="115" t="n">
        <x:f>'Scenario Analysis'!I6</x:f>
        <x:v>8612.5</x:v>
      </x:c>
      <x:c r="D13" s="115" t="n">
        <x:f>'Scenario Analysis'!I6</x:f>
        <x:v>8612.5</x:v>
      </x:c>
      <x:c r="E13" s="115" t="n">
        <x:f>'Scenario Analysis'!I6</x:f>
        <x:v>8612.5</x:v>
      </x:c>
      <x:c r="F13" s="115" t="n">
        <x:f>'Scenario Analysis'!I6</x:f>
        <x:v>8612.5</x:v>
      </x:c>
      <x:c r="G13" s="115" t="n">
        <x:f>'Scenario Analysis'!I6</x:f>
        <x:v>8612.5</x:v>
      </x:c>
      <x:c r="H13" s="115" t="n">
        <x:f>'Scenario Analysis'!I6</x:f>
        <x:v>8612.5</x:v>
      </x:c>
      <x:c r="I13" s="115" t="n">
        <x:f>'Scenario Analysis'!I6</x:f>
        <x:v>8612.5</x:v>
      </x:c>
      <x:c r="J13" s="115" t="n">
        <x:f>'Scenario Analysis'!I6</x:f>
        <x:v>8612.5</x:v>
      </x:c>
      <x:c r="K13" s="115" t="n">
        <x:f>'Scenario Analysis'!I6</x:f>
        <x:v>8612.5</x:v>
      </x:c>
      <x:c r="L13" s="115" t="n">
        <x:f>'Scenario Analysis'!I6</x:f>
        <x:v>8612.5</x:v>
      </x:c>
      <x:c r="M13" s="115" t="n">
        <x:f>'Scenario Analysis'!I6</x:f>
        <x:v>8612.5</x:v>
      </x:c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120" t="str">
        <x:v>Direct Costs</x:v>
      </x:c>
      <x:c r="B14" s="115" t="n">
        <x:f>'Scenario Analysis'!J6</x:f>
        <x:v>4686.25</x:v>
      </x:c>
      <x:c r="C14" s="115" t="n">
        <x:f>'Scenario Analysis'!J6</x:f>
        <x:v>4686.25</x:v>
      </x:c>
      <x:c r="D14" s="115" t="n">
        <x:f>'Scenario Analysis'!J6</x:f>
        <x:v>4686.25</x:v>
      </x:c>
      <x:c r="E14" s="115" t="n">
        <x:f>'Scenario Analysis'!J6</x:f>
        <x:v>4686.25</x:v>
      </x:c>
      <x:c r="F14" s="115" t="n">
        <x:f>'Scenario Analysis'!J6</x:f>
        <x:v>4686.25</x:v>
      </x:c>
      <x:c r="G14" s="115" t="n">
        <x:f>'Scenario Analysis'!J6</x:f>
        <x:v>4686.25</x:v>
      </x:c>
      <x:c r="H14" s="115" t="n">
        <x:f>'Scenario Analysis'!J6</x:f>
        <x:v>4686.25</x:v>
      </x:c>
      <x:c r="I14" s="115" t="n">
        <x:f>'Scenario Analysis'!J6</x:f>
        <x:v>4686.25</x:v>
      </x:c>
      <x:c r="J14" s="115" t="n">
        <x:f>'Scenario Analysis'!J6</x:f>
        <x:v>4686.25</x:v>
      </x:c>
      <x:c r="K14" s="115" t="n">
        <x:f>'Scenario Analysis'!J6</x:f>
        <x:v>4686.25</x:v>
      </x:c>
      <x:c r="L14" s="115" t="n">
        <x:f>'Scenario Analysis'!J6</x:f>
        <x:v>4686.25</x:v>
      </x:c>
      <x:c r="M14" s="115" t="n">
        <x:f>'Scenario Analysis'!J6</x:f>
        <x:v>4686.25</x:v>
      </x:c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120" t="str">
        <x:v>Fixed Costs</x:v>
      </x:c>
      <x:c r="B15" s="115" t="n">
        <x:f>'Operating Assumptions'!B16</x:f>
        <x:v>378</x:v>
      </x:c>
      <x:c r="C15" s="115" t="n">
        <x:f>'Operating Assumptions'!B16</x:f>
        <x:v>378</x:v>
      </x:c>
      <x:c r="D15" s="115" t="n">
        <x:f>'Operating Assumptions'!B16</x:f>
        <x:v>378</x:v>
      </x:c>
      <x:c r="E15" s="115" t="n">
        <x:f>'Operating Assumptions'!B16</x:f>
        <x:v>378</x:v>
      </x:c>
      <x:c r="F15" s="115" t="n">
        <x:f>'Operating Assumptions'!B16</x:f>
        <x:v>378</x:v>
      </x:c>
      <x:c r="G15" s="115" t="n">
        <x:f>'Operating Assumptions'!B16</x:f>
        <x:v>378</x:v>
      </x:c>
      <x:c r="H15" s="115" t="n">
        <x:f>'Operating Assumptions'!B16</x:f>
        <x:v>378</x:v>
      </x:c>
      <x:c r="I15" s="115" t="n">
        <x:f>'Operating Assumptions'!B16</x:f>
        <x:v>378</x:v>
      </x:c>
      <x:c r="J15" s="115" t="n">
        <x:f>'Operating Assumptions'!B16</x:f>
        <x:v>378</x:v>
      </x:c>
      <x:c r="K15" s="115" t="n">
        <x:f>'Operating Assumptions'!B16</x:f>
        <x:v>378</x:v>
      </x:c>
      <x:c r="L15" s="115" t="n">
        <x:f>'Operating Assumptions'!B16</x:f>
        <x:v>378</x:v>
      </x:c>
      <x:c r="M15" s="115" t="n">
        <x:f>'Operating Assumptions'!B16</x:f>
        <x:v>378</x:v>
      </x:c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120" t="str">
        <x:v>Pre-Tax Cash Flow</x:v>
      </x:c>
      <x:c r="B16" s="115" t="n">
        <x:f>B13-B14-B15</x:f>
        <x:v>3548.25</x:v>
      </x:c>
      <x:c r="C16" s="115" t="n">
        <x:f>C13-C14-C15</x:f>
        <x:v>3548.25</x:v>
      </x:c>
      <x:c r="D16" s="115" t="n">
        <x:f>D13-D14-D15</x:f>
        <x:v>3548.25</x:v>
      </x:c>
      <x:c r="E16" s="115" t="n">
        <x:f>E13-E14-E15</x:f>
        <x:v>3548.25</x:v>
      </x:c>
      <x:c r="F16" s="115" t="n">
        <x:f>F13-F14-F15</x:f>
        <x:v>3548.25</x:v>
      </x:c>
      <x:c r="G16" s="115" t="n">
        <x:f>G13-G14-G15</x:f>
        <x:v>3548.25</x:v>
      </x:c>
      <x:c r="H16" s="115" t="n">
        <x:f>H13-H14-H15</x:f>
        <x:v>3548.25</x:v>
      </x:c>
      <x:c r="I16" s="115" t="n">
        <x:f>I13-I14-I15</x:f>
        <x:v>3548.25</x:v>
      </x:c>
      <x:c r="J16" s="115" t="n">
        <x:f>J13-J14-J15</x:f>
        <x:v>3548.25</x:v>
      </x:c>
      <x:c r="K16" s="115" t="n">
        <x:f>K13-K14-K15</x:f>
        <x:v>3548.25</x:v>
      </x:c>
      <x:c r="L16" s="115" t="n">
        <x:f>L13-L14-L15</x:f>
        <x:v>3548.25</x:v>
      </x:c>
      <x:c r="M16" s="115" t="n">
        <x:f>M13-M14-M15</x:f>
        <x:v>3548.25</x:v>
      </x:c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120" t="str">
        <x:v>Tax Reserve</x:v>
      </x:c>
      <x:c r="B17" s="115" t="n">
        <x:f>MAX(0,B16*'Operating Assumptions'!B20)</x:f>
        <x:v>709.6500000000001</x:v>
      </x:c>
      <x:c r="C17" s="115" t="n">
        <x:f>MAX(0,C16*'Operating Assumptions'!B20)</x:f>
        <x:v>709.6500000000001</x:v>
      </x:c>
      <x:c r="D17" s="115" t="n">
        <x:f>MAX(0,D16*'Operating Assumptions'!B20)</x:f>
        <x:v>709.6500000000001</x:v>
      </x:c>
      <x:c r="E17" s="115" t="n">
        <x:f>MAX(0,E16*'Operating Assumptions'!B20)</x:f>
        <x:v>709.6500000000001</x:v>
      </x:c>
      <x:c r="F17" s="115" t="n">
        <x:f>MAX(0,F16*'Operating Assumptions'!B20)</x:f>
        <x:v>709.6500000000001</x:v>
      </x:c>
      <x:c r="G17" s="115" t="n">
        <x:f>MAX(0,G16*'Operating Assumptions'!B20)</x:f>
        <x:v>709.6500000000001</x:v>
      </x:c>
      <x:c r="H17" s="115" t="n">
        <x:f>MAX(0,H16*'Operating Assumptions'!B20)</x:f>
        <x:v>709.6500000000001</x:v>
      </x:c>
      <x:c r="I17" s="115" t="n">
        <x:f>MAX(0,I16*'Operating Assumptions'!B20)</x:f>
        <x:v>709.6500000000001</x:v>
      </x:c>
      <x:c r="J17" s="115" t="n">
        <x:f>MAX(0,J16*'Operating Assumptions'!B20)</x:f>
        <x:v>709.6500000000001</x:v>
      </x:c>
      <x:c r="K17" s="115" t="n">
        <x:f>MAX(0,K16*'Operating Assumptions'!B20)</x:f>
        <x:v>709.6500000000001</x:v>
      </x:c>
      <x:c r="L17" s="115" t="n">
        <x:f>MAX(0,L16*'Operating Assumptions'!B20)</x:f>
        <x:v>709.6500000000001</x:v>
      </x:c>
      <x:c r="M17" s="115" t="n">
        <x:f>MAX(0,M16*'Operating Assumptions'!B20)</x:f>
        <x:v>709.6500000000001</x:v>
      </x:c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120" t="str">
        <x:v>Net Cash Flow</x:v>
      </x:c>
      <x:c r="B18" s="115" t="n">
        <x:f>B16-B17</x:f>
        <x:v>2838.6</x:v>
      </x:c>
      <x:c r="C18" s="115" t="n">
        <x:f>C16-C17</x:f>
        <x:v>2838.6</x:v>
      </x:c>
      <x:c r="D18" s="115" t="n">
        <x:f>D16-D17</x:f>
        <x:v>2838.6</x:v>
      </x:c>
      <x:c r="E18" s="115" t="n">
        <x:f>E16-E17</x:f>
        <x:v>2838.6</x:v>
      </x:c>
      <x:c r="F18" s="115" t="n">
        <x:f>F16-F17</x:f>
        <x:v>2838.6</x:v>
      </x:c>
      <x:c r="G18" s="115" t="n">
        <x:f>G16-G17</x:f>
        <x:v>2838.6</x:v>
      </x:c>
      <x:c r="H18" s="115" t="n">
        <x:f>H16-H17</x:f>
        <x:v>2838.6</x:v>
      </x:c>
      <x:c r="I18" s="115" t="n">
        <x:f>I16-I17</x:f>
        <x:v>2838.6</x:v>
      </x:c>
      <x:c r="J18" s="115" t="n">
        <x:f>J16-J17</x:f>
        <x:v>2838.6</x:v>
      </x:c>
      <x:c r="K18" s="115" t="n">
        <x:f>K16-K17</x:f>
        <x:v>2838.6</x:v>
      </x:c>
      <x:c r="L18" s="115" t="n">
        <x:f>L16-L17</x:f>
        <x:v>2838.6</x:v>
      </x:c>
      <x:c r="M18" s="115" t="n">
        <x:f>M16-M17</x:f>
        <x:v>2838.6</x:v>
      </x:c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120" t="str">
        <x:v>Ending Cash</x:v>
      </x:c>
      <x:c r="B19" s="115" t="n">
        <x:f>B5+B18</x:f>
        <x:v>4338.6</x:v>
      </x:c>
      <x:c r="C19" s="115" t="n">
        <x:f>C5+C18</x:f>
        <x:v>7177.200000000001</x:v>
      </x:c>
      <x:c r="D19" s="115" t="n">
        <x:f>D5+D18</x:f>
        <x:v>10015.800000000001</x:v>
      </x:c>
      <x:c r="E19" s="115" t="n">
        <x:f>E5+E18</x:f>
        <x:v>12854.400000000001</x:v>
      </x:c>
      <x:c r="F19" s="115" t="n">
        <x:f>F5+F18</x:f>
        <x:v>15693.000000000002</x:v>
      </x:c>
      <x:c r="G19" s="115" t="n">
        <x:f>G5+G18</x:f>
        <x:v>18531.600000000002</x:v>
      </x:c>
      <x:c r="H19" s="115" t="n">
        <x:f>H5+H18</x:f>
        <x:v>21370.2</x:v>
      </x:c>
      <x:c r="I19" s="115" t="n">
        <x:f>I5+I18</x:f>
        <x:v>24208.8</x:v>
      </x:c>
      <x:c r="J19" s="115" t="n">
        <x:f>J5+J18</x:f>
        <x:v>27047.399999999998</x:v>
      </x:c>
      <x:c r="K19" s="115" t="n">
        <x:f>K5+K18</x:f>
        <x:v>29885.999999999996</x:v>
      </x:c>
      <x:c r="L19" s="115" t="n">
        <x:f>L5+L18</x:f>
        <x:v>32724.599999999995</x:v>
      </x:c>
      <x:c r="M19" s="115" t="n">
        <x:f>M5+M18</x:f>
        <x:v>35563.2</x:v>
      </x:c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M1"/>
    <x:mergeCell ref="A2:M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3" hidden="0" customWidth="1"/>
    <x:col min="7" max="7" width="15" hidden="0" customWidth="1"/>
    <x:col min="8" max="8" width="14" hidden="0" customWidth="1"/>
    <x:col min="9" max="9" width="15" hidden="0" customWidth="1"/>
    <x:col min="10" max="10" width="13" hidden="0" customWidth="1"/>
  </x:cols>
  <x:sheetData>
    <x:row r="1" ht="28" customHeight="1">
      <x:c r="A1" s="84" t="str">
        <x:v>Dashboard - Higgins Digital Pricing Model</x:v>
      </x:c>
      <x:c r="B1" s="84"/>
      <x:c r="C1" s="84"/>
      <x:c r="D1" s="84"/>
      <x:c r="E1" s="84"/>
      <x:c r="F1" s="84"/>
      <x:c r="G1" s="84"/>
      <x:c r="H1" s="84"/>
      <x:c r="I1" s="84"/>
      <x:c r="J1" s="84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Executive summary prepared by Ben Levy</x:v>
      </x:c>
      <x:c r="B2" s="86"/>
      <x:c r="C2" s="86"/>
      <x:c r="D2" s="86"/>
      <x:c r="E2" s="86"/>
      <x:c r="F2" s="86"/>
      <x:c r="G2" s="86"/>
      <x:c r="H2" s="86"/>
      <x:c r="I2" s="86"/>
      <x:c r="J2" s="86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124" t="str">
        <x:v>Entry Package</x:v>
      </x:c>
      <x:c r="B4" s="124"/>
      <x:c r="C4" s="85"/>
      <x:c r="D4" s="124" t="str">
        <x:v>Most Popular</x:v>
      </x:c>
      <x:c r="E4" s="124"/>
      <x:c r="F4" s="85"/>
      <x:c r="G4" s="124" t="str">
        <x:v>Enterprise Starting</x:v>
      </x:c>
      <x:c r="H4" s="124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125" t="n">
        <x:f>'Pricing Model'!B5</x:f>
        <x:v>1000</x:v>
      </x:c>
      <x:c r="B5" s="125"/>
      <x:c r="C5" s="85"/>
      <x:c r="D5" s="125" t="n">
        <x:f>'Pricing Model'!B6</x:f>
        <x:v>2500</x:v>
      </x:c>
      <x:c r="E5" s="125"/>
      <x:c r="F5" s="85"/>
      <x:c r="G5" s="125" t="n">
        <x:f>'Pricing Model'!B7</x:f>
        <x:v>5000</x:v>
      </x:c>
      <x:c r="H5" s="12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5"/>
      <x:c r="B6" s="85"/>
      <x:c r="C6" s="85"/>
      <x:c r="D6" s="85"/>
      <x:c r="E6" s="85"/>
      <x:c r="F6" s="85"/>
      <x:c r="G6" s="85"/>
      <x:c r="H6" s="85"/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124" t="str">
        <x:v>Average Savings vs Market</x:v>
      </x:c>
      <x:c r="B7" s="124"/>
      <x:c r="C7" s="85"/>
      <x:c r="D7" s="124" t="str">
        <x:v>Base Monthly Net Cash Flow</x:v>
      </x:c>
      <x:c r="E7" s="124"/>
      <x:c r="F7" s="85"/>
      <x:c r="G7" s="124" t="str">
        <x:v>12-Month Ending Cash</x:v>
      </x:c>
      <x:c r="H7" s="124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126" t="n">
        <x:f>'Pricing Model'!B15</x:f>
        <x:v>0.7141300964830376</x:v>
      </x:c>
      <x:c r="B8" s="126"/>
      <x:c r="C8" s="85"/>
      <x:c r="D8" s="127" t="n">
        <x:f>'Scenario Analysis'!M6</x:f>
        <x:v>2838.6</x:v>
      </x:c>
      <x:c r="E8" s="127"/>
      <x:c r="F8" s="85"/>
      <x:c r="G8" s="127" t="n">
        <x:f>'Cash Flow'!M19</x:f>
        <x:v>35563.2</x:v>
      </x:c>
      <x:c r="H8" s="127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5"/>
      <x:c r="B9" s="85"/>
      <x:c r="C9" s="85"/>
      <x:c r="D9" s="85"/>
      <x:c r="E9" s="85"/>
      <x:c r="F9" s="85"/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5"/>
      <x:c r="B10" s="85"/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9" t="str">
        <x:v>Official New Build Tier</x:v>
      </x:c>
      <x:c r="B11" s="89" t="str">
        <x:v>Official Price</x:v>
      </x:c>
      <x:c r="C11" s="89" t="str">
        <x:v>Market Avg</x:v>
      </x:c>
      <x:c r="D11" s="89" t="str">
        <x:v>Savings %</x:v>
      </x:c>
      <x:c r="E11" s="89" t="str">
        <x:v>Actual GM %</x:v>
      </x:c>
      <x:c r="F11" s="85"/>
      <x:c r="G11" s="89" t="str">
        <x:v>Scenario</x:v>
      </x:c>
      <x:c r="H11" s="89" t="str">
        <x:v>Total Revenue</x:v>
      </x:c>
      <x:c r="I11" s="89" t="str">
        <x:v>Net Cash Flow</x:v>
      </x:c>
      <x:c r="J11" s="89" t="str">
        <x:v>Gross Margin %</x:v>
      </x:c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 t="str">
        <x:f>'Pricing Model'!A5</x:f>
        <x:v>Essential Presence</x:v>
      </x:c>
      <x:c r="B12" s="115" t="n">
        <x:f>'Pricing Model'!B5</x:f>
        <x:v>1000</x:v>
      </x:c>
      <x:c r="C12" s="115" t="n">
        <x:f>'Pricing Model'!M5</x:f>
        <x:v>3500</x:v>
      </x:c>
      <x:c r="D12" s="116" t="n">
        <x:f>'Pricing Model'!O5</x:f>
        <x:v>0.7142857142857143</x:v>
      </x:c>
      <x:c r="E12" s="116" t="n">
        <x:f>'Pricing Model'!L5</x:f>
        <x:v>0.5</x:v>
      </x:c>
      <x:c r="F12" s="85"/>
      <x:c r="G12" s="85" t="str">
        <x:f>'Scenario Analysis'!A5</x:f>
        <x:v>Conservative</x:v>
      </x:c>
      <x:c r="H12" s="115" t="n">
        <x:f>'Scenario Analysis'!I5</x:f>
        <x:v>2700</x:v>
      </x:c>
      <x:c r="I12" s="115" t="n">
        <x:f>'Scenario Analysis'!M5</x:f>
        <x:v>761.4</x:v>
      </x:c>
      <x:c r="J12" s="116" t="n">
        <x:f>'Scenario Analysis'!N5</x:f>
        <x:v>0.4925</x:v>
      </x:c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 t="str">
        <x:f>'Pricing Model'!A6</x:f>
        <x:v>Growth Standard</x:v>
      </x:c>
      <x:c r="B13" s="115" t="n">
        <x:f>'Pricing Model'!B6</x:f>
        <x:v>2500</x:v>
      </x:c>
      <x:c r="C13" s="115" t="n">
        <x:f>'Pricing Model'!M6</x:f>
        <x:v>8500</x:v>
      </x:c>
      <x:c r="D13" s="116" t="n">
        <x:f>'Pricing Model'!O6</x:f>
        <x:v>0.7058823529411764</x:v>
      </x:c>
      <x:c r="E13" s="116" t="n">
        <x:f>'Pricing Model'!L6</x:f>
        <x:v>0.47</x:v>
      </x:c>
      <x:c r="F13" s="85"/>
      <x:c r="G13" s="85" t="str">
        <x:f>'Scenario Analysis'!A6</x:f>
        <x:v>Base</x:v>
      </x:c>
      <x:c r="H13" s="115" t="n">
        <x:f>'Scenario Analysis'!I6</x:f>
        <x:v>8612.5</x:v>
      </x:c>
      <x:c r="I13" s="115" t="n">
        <x:f>'Scenario Analysis'!M6</x:f>
        <x:v>2838.6</x:v>
      </x:c>
      <x:c r="J13" s="116" t="n">
        <x:f>'Scenario Analysis'!N6</x:f>
        <x:v>0.455878084179971</x:v>
      </x:c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 t="str">
        <x:f>'Pricing Model'!A7</x:f>
        <x:v>Enterprise Logic</x:v>
      </x:c>
      <x:c r="B14" s="115" t="n">
        <x:f>'Pricing Model'!B7</x:f>
        <x:v>5000</x:v>
      </x:c>
      <x:c r="C14" s="115" t="n">
        <x:f>'Pricing Model'!M7</x:f>
        <x:v>18000</x:v>
      </x:c>
      <x:c r="D14" s="116" t="n">
        <x:f>'Pricing Model'!O7</x:f>
        <x:v>0.7222222222222222</x:v>
      </x:c>
      <x:c r="E14" s="116" t="n">
        <x:f>'Pricing Model'!L7</x:f>
        <x:v>0.388</x:v>
      </x:c>
      <x:c r="F14" s="85"/>
      <x:c r="G14" s="85" t="str">
        <x:f>'Scenario Analysis'!A7</x:f>
        <x:v>Growth</x:v>
      </x:c>
      <x:c r="H14" s="115" t="n">
        <x:f>'Scenario Analysis'!I7</x:f>
        <x:v>17275</x:v>
      </x:c>
      <x:c r="I14" s="115" t="n">
        <x:f>'Scenario Analysis'!M7</x:f>
        <x:v>5885.6</x:v>
      </x:c>
      <x:c r="J14" s="116" t="n">
        <x:f>'Scenario Analysis'!N7</x:f>
        <x:v>0.44775687409551373</x:v>
      </x:c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J1"/>
    <x:mergeCell ref="A2:J2"/>
    <x:mergeCell ref="A4:B4"/>
    <x:mergeCell ref="D4:E4"/>
    <x:mergeCell ref="G4:H4"/>
    <x:mergeCell ref="A5:B5"/>
    <x:mergeCell ref="D5:E5"/>
    <x:mergeCell ref="G5:H5"/>
    <x:mergeCell ref="A7:B7"/>
    <x:mergeCell ref="D7:E7"/>
    <x:mergeCell ref="G7:H7"/>
    <x:mergeCell ref="A8:B8"/>
    <x:mergeCell ref="D8:E8"/>
    <x:mergeCell ref="G8:H8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6" hidden="0" customWidth="1"/>
    <x:col min="3" max="3" width="35" hidden="0" customWidth="1"/>
    <x:col min="4" max="4" width="26" hidden="0" customWidth="1"/>
    <x:col min="5" max="5" width="70" hidden="0" customWidth="1"/>
    <x:col min="6" max="6" width="45" hidden="0" customWidth="1"/>
  </x:cols>
  <x:sheetData>
    <x:row r="1" ht="28" customHeight="1">
      <x:c r="A1" s="84" t="str">
        <x:v>Sources &amp; Documentation</x:v>
      </x:c>
      <x:c r="B1" s="84"/>
      <x:c r="C1" s="84"/>
      <x:c r="D1" s="84"/>
      <x:c r="E1" s="84"/>
      <x:c r="F1" s="84"/>
      <x:c r="G1" s="85"/>
      <x:c r="H1" s="85"/>
      <x:c r="I1" s="85"/>
      <x:c r="J1" s="85"/>
      <x:c r="K1" s="85"/>
      <x:c r="L1" s="85"/>
      <x:c r="M1" s="85"/>
      <x:c r="N1" s="85"/>
      <x:c r="O1" s="85"/>
      <x:c r="P1" s="85"/>
      <x:c r="Q1" s="85"/>
      <x:c r="R1" s="85"/>
      <x:c r="S1" s="85"/>
      <x:c r="T1" s="85"/>
      <x:c r="U1" s="85"/>
      <x:c r="V1" s="85"/>
      <x:c r="W1" s="85"/>
      <x:c r="X1" s="85"/>
      <x:c r="Y1" s="85"/>
      <x:c r="Z1" s="85"/>
    </x:row>
    <x:row r="2" ht="22" customHeight="1">
      <x:c r="A2" s="86" t="str">
        <x:v>Official website URLs and supporting source notes used in the Ben Levy finance project package</x:v>
      </x:c>
      <x:c r="B2" s="86"/>
      <x:c r="C2" s="86"/>
      <x:c r="D2" s="86"/>
      <x:c r="E2" s="86"/>
      <x:c r="F2" s="86"/>
      <x:c r="G2" s="85"/>
      <x:c r="H2" s="85"/>
      <x:c r="I2" s="85"/>
      <x:c r="J2" s="85"/>
      <x:c r="K2" s="85"/>
      <x:c r="L2" s="85"/>
      <x:c r="M2" s="85"/>
      <x:c r="N2" s="85"/>
      <x:c r="O2" s="85"/>
      <x:c r="P2" s="85"/>
      <x:c r="Q2" s="85"/>
      <x:c r="R2" s="85"/>
      <x:c r="S2" s="85"/>
      <x:c r="T2" s="85"/>
      <x:c r="U2" s="85"/>
      <x:c r="V2" s="85"/>
      <x:c r="W2" s="85"/>
      <x:c r="X2" s="85"/>
      <x:c r="Y2" s="85"/>
      <x:c r="Z2" s="85"/>
    </x:row>
    <x:row r="3">
      <x:c r="A3" s="85"/>
      <x:c r="B3" s="85"/>
      <x:c r="C3" s="85"/>
      <x:c r="D3" s="85"/>
      <x:c r="E3" s="85"/>
      <x:c r="F3" s="85"/>
      <x:c r="G3" s="85"/>
      <x:c r="H3" s="85"/>
      <x:c r="I3" s="85"/>
      <x:c r="J3" s="85"/>
      <x:c r="K3" s="85"/>
      <x:c r="L3" s="85"/>
      <x:c r="M3" s="85"/>
      <x:c r="N3" s="85"/>
      <x:c r="O3" s="85"/>
      <x:c r="P3" s="85"/>
      <x:c r="Q3" s="85"/>
      <x:c r="R3" s="85"/>
      <x:c r="S3" s="85"/>
      <x:c r="T3" s="85"/>
      <x:c r="U3" s="85"/>
      <x:c r="V3" s="85"/>
      <x:c r="W3" s="85"/>
      <x:c r="X3" s="85"/>
      <x:c r="Y3" s="85"/>
      <x:c r="Z3" s="85"/>
    </x:row>
    <x:row r="4">
      <x:c r="A4" s="89" t="str">
        <x:v>Topic</x:v>
      </x:c>
      <x:c r="B4" s="89" t="str">
        <x:v>Source</x:v>
      </x:c>
      <x:c r="C4" s="89" t="str">
        <x:v>URL</x:v>
      </x:c>
      <x:c r="D4" s="89" t="str">
        <x:v>Model Usage</x:v>
      </x:c>
      <x:c r="E4" s="89" t="str">
        <x:v>Official Detail Captured</x:v>
      </x:c>
      <x:c r="F4" s="89" t="str">
        <x:v>Notes</x:v>
      </x:c>
      <x:c r="G4" s="85"/>
      <x:c r="H4" s="85"/>
      <x:c r="I4" s="85"/>
      <x:c r="J4" s="85"/>
      <x:c r="K4" s="85"/>
      <x:c r="L4" s="85"/>
      <x:c r="M4" s="85"/>
      <x:c r="N4" s="85"/>
      <x:c r="O4" s="85"/>
      <x:c r="P4" s="85"/>
      <x:c r="Q4" s="85"/>
      <x:c r="R4" s="85"/>
      <x:c r="S4" s="85"/>
      <x:c r="T4" s="85"/>
      <x:c r="U4" s="85"/>
      <x:c r="V4" s="85"/>
      <x:c r="W4" s="85"/>
      <x:c r="X4" s="85"/>
      <x:c r="Y4" s="85"/>
      <x:c r="Z4" s="85"/>
    </x:row>
    <x:row r="5">
      <x:c r="A5" s="88" t="str">
        <x:v>Official pricing</x:v>
      </x:c>
      <x:c r="B5" s="88" t="str">
        <x:v>Higgins Digital Pricing page</x:v>
      </x:c>
      <x:c r="C5" s="88" t="str">
        <x:v>https://higginsd.com/pricing</x:v>
      </x:c>
      <x:c r="D5" s="88" t="str">
        <x:v>Official prices and market averages</x:v>
      </x:c>
      <x:c r="E5" s="88" t="str">
        <x:v>Essential Presence $1,000, Growth Standard $2,500, Enterprise Logic $5,000+, modification tiers from $150 to $3,000.</x:v>
      </x:c>
      <x:c r="F5" s="88" t="str">
        <x:v>Primary source for package pricing.</x:v>
      </x:c>
      <x:c r="G5" s="85"/>
      <x:c r="H5" s="85"/>
      <x:c r="I5" s="85"/>
      <x:c r="J5" s="85"/>
      <x:c r="K5" s="85"/>
      <x:c r="L5" s="85"/>
      <x:c r="M5" s="85"/>
      <x:c r="N5" s="85"/>
      <x:c r="O5" s="85"/>
      <x:c r="P5" s="85"/>
      <x:c r="Q5" s="85"/>
      <x:c r="R5" s="85"/>
      <x:c r="S5" s="85"/>
      <x:c r="T5" s="85"/>
      <x:c r="U5" s="85"/>
      <x:c r="V5" s="85"/>
      <x:c r="W5" s="85"/>
      <x:c r="X5" s="85"/>
      <x:c r="Y5" s="85"/>
      <x:c r="Z5" s="85"/>
    </x:row>
    <x:row r="6">
      <x:c r="A6" s="88" t="str">
        <x:v>Company positioning</x:v>
      </x:c>
      <x:c r="B6" s="88" t="str">
        <x:v>Higgins Digital homepage</x:v>
      </x:c>
      <x:c r="C6" s="88" t="str">
        <x:v>https://higginsd.com/</x:v>
      </x:c>
      <x:c r="D6" s="88" t="str">
        <x:v>Company description and value proposition</x:v>
      </x:c>
      <x:c r="E6" s="88" t="str">
        <x:v>High-performance websites for real businesses; fast, modern, reliable websites that strengthen trust and improve first impressions.</x:v>
      </x:c>
      <x:c r="F6" s="88" t="str">
        <x:v>Used in README, dashboard, and proof packet narrative.</x:v>
      </x:c>
      <x:c r="G6" s="85"/>
      <x:c r="H6" s="85"/>
      <x:c r="I6" s="85"/>
      <x:c r="J6" s="85"/>
      <x:c r="K6" s="85"/>
      <x:c r="L6" s="85"/>
      <x:c r="M6" s="85"/>
      <x:c r="N6" s="85"/>
      <x:c r="O6" s="85"/>
      <x:c r="P6" s="85"/>
      <x:c r="Q6" s="85"/>
      <x:c r="R6" s="85"/>
      <x:c r="S6" s="85"/>
      <x:c r="T6" s="85"/>
      <x:c r="U6" s="85"/>
      <x:c r="V6" s="85"/>
      <x:c r="W6" s="85"/>
      <x:c r="X6" s="85"/>
      <x:c r="Y6" s="85"/>
      <x:c r="Z6" s="85"/>
    </x:row>
    <x:row r="7">
      <x:c r="A7" s="88" t="str">
        <x:v>Service structure</x:v>
      </x:c>
      <x:c r="B7" s="88" t="str">
        <x:v>Higgins Digital Services page</x:v>
      </x:c>
      <x:c r="C7" s="88" t="str">
        <x:v>https://higginsd.com/services</x:v>
      </x:c>
      <x:c r="D7" s="88" t="str">
        <x:v>Services, process, and quote turnaround</x:v>
      </x:c>
      <x:c r="E7" s="88" t="str">
        <x:v>Website development, domain transfer support, performance optimization, brand refresh support; quote sent within 1-2 days.</x:v>
      </x:c>
      <x:c r="F7" s="88" t="str">
        <x:v>Used to structure assumptions and finance notes.</x:v>
      </x:c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  <x:c r="S7" s="85"/>
      <x:c r="T7" s="85"/>
      <x:c r="U7" s="85"/>
      <x:c r="V7" s="85"/>
      <x:c r="W7" s="85"/>
      <x:c r="X7" s="85"/>
      <x:c r="Y7" s="85"/>
      <x:c r="Z7" s="85"/>
    </x:row>
    <x:row r="8">
      <x:c r="A8" s="88" t="str">
        <x:v>Contact / intake</x:v>
      </x:c>
      <x:c r="B8" s="88" t="str">
        <x:v>Higgins Digital Contact page</x:v>
      </x:c>
      <x:c r="C8" s="88" t="str">
        <x:v>https://higginsd.com/contact</x:v>
      </x:c>
      <x:c r="D8" s="88" t="str">
        <x:v>Client intake assumptions</x:v>
      </x:c>
      <x:c r="E8" s="88" t="str">
        <x:v>Project details include business name, current site, improvements, pages needed, logo/photos/domain.</x:v>
      </x:c>
      <x:c r="F8" s="88" t="str">
        <x:v>Supports process and pipeline assumptions.</x:v>
      </x:c>
      <x:c r="G8" s="85"/>
      <x:c r="H8" s="85"/>
      <x:c r="I8" s="85"/>
      <x:c r="J8" s="85"/>
      <x:c r="K8" s="85"/>
      <x:c r="L8" s="85"/>
      <x:c r="M8" s="85"/>
      <x:c r="N8" s="85"/>
      <x:c r="O8" s="85"/>
      <x:c r="P8" s="85"/>
      <x:c r="Q8" s="85"/>
      <x:c r="R8" s="85"/>
      <x:c r="S8" s="85"/>
      <x:c r="T8" s="85"/>
      <x:c r="U8" s="85"/>
      <x:c r="V8" s="85"/>
      <x:c r="W8" s="85"/>
      <x:c r="X8" s="85"/>
      <x:c r="Y8" s="85"/>
      <x:c r="Z8" s="85"/>
    </x:row>
    <x:row r="9">
      <x:c r="A9" s="88" t="str">
        <x:v>Cost assumptions</x:v>
      </x:c>
      <x:c r="B9" s="88" t="str">
        <x:v>Prepared by Ben Levy</x:v>
      </x:c>
      <x:c r="C9" s="88" t="str">
        <x:v>N/A</x:v>
      </x:c>
      <x:c r="D9" s="88" t="str">
        <x:v>Internal model inputs</x:v>
      </x:c>
      <x:c r="E9" s="88" t="str">
        <x:v>Labor hours, tool costs, operating costs, and tax reserve are editable finance estimates.</x:v>
      </x:c>
      <x:c r="F9" s="88" t="str">
        <x:v>Marked as blue input cells where applicable.</x:v>
      </x:c>
      <x:c r="G9" s="85"/>
      <x:c r="H9" s="85"/>
      <x:c r="I9" s="85"/>
      <x:c r="J9" s="85"/>
      <x:c r="K9" s="85"/>
      <x:c r="L9" s="85"/>
      <x:c r="M9" s="85"/>
      <x:c r="N9" s="85"/>
      <x:c r="O9" s="85"/>
      <x:c r="P9" s="85"/>
      <x:c r="Q9" s="85"/>
      <x:c r="R9" s="85"/>
      <x:c r="S9" s="85"/>
      <x:c r="T9" s="85"/>
      <x:c r="U9" s="85"/>
      <x:c r="V9" s="85"/>
      <x:c r="W9" s="85"/>
      <x:c r="X9" s="85"/>
      <x:c r="Y9" s="85"/>
      <x:c r="Z9" s="85"/>
    </x:row>
    <x:row r="10">
      <x:c r="A10" s="85"/>
      <x:c r="B10" s="85"/>
      <x:c r="C10" s="85"/>
      <x:c r="D10" s="85"/>
      <x:c r="E10" s="85"/>
      <x:c r="F10" s="85"/>
      <x:c r="G10" s="85"/>
      <x:c r="H10" s="85"/>
      <x:c r="I10" s="85"/>
      <x:c r="J10" s="85"/>
      <x:c r="K10" s="85"/>
      <x:c r="L10" s="85"/>
      <x:c r="M10" s="85"/>
      <x:c r="N10" s="85"/>
      <x:c r="O10" s="85"/>
      <x:c r="P10" s="85"/>
      <x:c r="Q10" s="85"/>
      <x:c r="R10" s="85"/>
      <x:c r="S10" s="85"/>
      <x:c r="T10" s="85"/>
      <x:c r="U10" s="85"/>
      <x:c r="V10" s="85"/>
      <x:c r="W10" s="85"/>
      <x:c r="X10" s="85"/>
      <x:c r="Y10" s="85"/>
      <x:c r="Z10" s="85"/>
    </x:row>
    <x:row r="11">
      <x:c r="A11" s="85"/>
      <x:c r="B11" s="85"/>
      <x:c r="C11" s="85"/>
      <x:c r="D11" s="85"/>
      <x:c r="E11" s="85"/>
      <x:c r="F11" s="85"/>
      <x:c r="G11" s="85"/>
      <x:c r="H11" s="85"/>
      <x:c r="I11" s="85"/>
      <x:c r="J11" s="85"/>
      <x:c r="K11" s="85"/>
      <x:c r="L11" s="85"/>
      <x:c r="M11" s="85"/>
      <x:c r="N11" s="85"/>
      <x:c r="O11" s="85"/>
      <x:c r="P11" s="85"/>
      <x:c r="Q11" s="85"/>
      <x:c r="R11" s="85"/>
      <x:c r="S11" s="85"/>
      <x:c r="T11" s="85"/>
      <x:c r="U11" s="85"/>
      <x:c r="V11" s="85"/>
      <x:c r="W11" s="85"/>
      <x:c r="X11" s="85"/>
      <x:c r="Y11" s="85"/>
      <x:c r="Z11" s="85"/>
    </x:row>
    <x:row r="12">
      <x:c r="A12" s="85"/>
      <x:c r="B12" s="85"/>
      <x:c r="C12" s="85"/>
      <x:c r="D12" s="85"/>
      <x:c r="E12" s="85"/>
      <x:c r="F12" s="85"/>
      <x:c r="G12" s="85"/>
      <x:c r="H12" s="85"/>
      <x:c r="I12" s="85"/>
      <x:c r="J12" s="85"/>
      <x:c r="K12" s="85"/>
      <x:c r="L12" s="85"/>
      <x:c r="M12" s="85"/>
      <x:c r="N12" s="85"/>
      <x:c r="O12" s="85"/>
      <x:c r="P12" s="85"/>
      <x:c r="Q12" s="85"/>
      <x:c r="R12" s="85"/>
      <x:c r="S12" s="85"/>
      <x:c r="T12" s="85"/>
      <x:c r="U12" s="85"/>
      <x:c r="V12" s="85"/>
      <x:c r="W12" s="85"/>
      <x:c r="X12" s="85"/>
      <x:c r="Y12" s="85"/>
      <x:c r="Z12" s="85"/>
    </x:row>
    <x:row r="13">
      <x:c r="A13" s="85"/>
      <x:c r="B13" s="85"/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  <x:c r="Q13" s="85"/>
      <x:c r="R13" s="85"/>
      <x:c r="S13" s="85"/>
      <x:c r="T13" s="85"/>
      <x:c r="U13" s="85"/>
      <x:c r="V13" s="85"/>
      <x:c r="W13" s="85"/>
      <x:c r="X13" s="85"/>
      <x:c r="Y13" s="85"/>
      <x:c r="Z13" s="85"/>
    </x:row>
    <x:row r="14">
      <x:c r="A14" s="85"/>
      <x:c r="B14" s="85"/>
      <x:c r="C14" s="85"/>
      <x:c r="D14" s="85"/>
      <x:c r="E14" s="85"/>
      <x:c r="F14" s="85"/>
      <x:c r="G14" s="85"/>
      <x:c r="H14" s="85"/>
      <x:c r="I14" s="85"/>
      <x:c r="J14" s="85"/>
      <x:c r="K14" s="85"/>
      <x:c r="L14" s="85"/>
      <x:c r="M14" s="85"/>
      <x:c r="N14" s="85"/>
      <x:c r="O14" s="85"/>
      <x:c r="P14" s="85"/>
      <x:c r="Q14" s="85"/>
      <x:c r="R14" s="85"/>
      <x:c r="S14" s="85"/>
      <x:c r="T14" s="85"/>
      <x:c r="U14" s="85"/>
      <x:c r="V14" s="85"/>
      <x:c r="W14" s="85"/>
      <x:c r="X14" s="85"/>
      <x:c r="Y14" s="85"/>
      <x:c r="Z14" s="85"/>
    </x:row>
    <x:row r="15">
      <x:c r="A15" s="85"/>
      <x:c r="B15" s="85"/>
      <x:c r="C15" s="85"/>
      <x:c r="D15" s="85"/>
      <x:c r="E15" s="85"/>
      <x:c r="F15" s="85"/>
      <x:c r="G15" s="85"/>
      <x:c r="H15" s="85"/>
      <x:c r="I15" s="85"/>
      <x:c r="J15" s="85"/>
      <x:c r="K15" s="85"/>
      <x:c r="L15" s="85"/>
      <x:c r="M15" s="85"/>
      <x:c r="N15" s="85"/>
      <x:c r="O15" s="85"/>
      <x:c r="P15" s="85"/>
      <x:c r="Q15" s="85"/>
      <x:c r="R15" s="85"/>
      <x:c r="S15" s="85"/>
      <x:c r="T15" s="85"/>
      <x:c r="U15" s="85"/>
      <x:c r="V15" s="85"/>
      <x:c r="W15" s="85"/>
      <x:c r="X15" s="85"/>
      <x:c r="Y15" s="85"/>
      <x:c r="Z15" s="85"/>
    </x:row>
    <x:row r="16">
      <x:c r="A16" s="85"/>
      <x:c r="B16" s="85"/>
      <x:c r="C16" s="85"/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</x:row>
    <x:row r="17">
      <x:c r="A17" s="85"/>
      <x:c r="B17" s="85"/>
      <x:c r="C17" s="85"/>
      <x:c r="D17" s="85"/>
      <x:c r="E17" s="85"/>
      <x:c r="F17" s="85"/>
      <x:c r="G17" s="85"/>
      <x:c r="H17" s="85"/>
      <x:c r="I17" s="85"/>
      <x:c r="J17" s="85"/>
      <x:c r="K17" s="85"/>
      <x:c r="L17" s="85"/>
      <x:c r="M17" s="85"/>
      <x:c r="N17" s="85"/>
      <x:c r="O17" s="85"/>
      <x:c r="P17" s="85"/>
      <x:c r="Q17" s="85"/>
      <x:c r="R17" s="85"/>
      <x:c r="S17" s="85"/>
      <x:c r="T17" s="85"/>
      <x:c r="U17" s="85"/>
      <x:c r="V17" s="85"/>
      <x:c r="W17" s="85"/>
      <x:c r="X17" s="85"/>
      <x:c r="Y17" s="85"/>
      <x:c r="Z17" s="85"/>
    </x:row>
    <x:row r="18">
      <x:c r="A18" s="85"/>
      <x:c r="B18" s="85"/>
      <x:c r="C18" s="85"/>
      <x:c r="D18" s="85"/>
      <x:c r="E18" s="85"/>
      <x:c r="F18" s="85"/>
      <x:c r="G18" s="85"/>
      <x:c r="H18" s="85"/>
      <x:c r="I18" s="85"/>
      <x:c r="J18" s="85"/>
      <x:c r="K18" s="85"/>
      <x:c r="L18" s="85"/>
      <x:c r="M18" s="85"/>
      <x:c r="N18" s="85"/>
      <x:c r="O18" s="85"/>
      <x:c r="P18" s="85"/>
      <x:c r="Q18" s="85"/>
      <x:c r="R18" s="85"/>
      <x:c r="S18" s="85"/>
      <x:c r="T18" s="85"/>
      <x:c r="U18" s="85"/>
      <x:c r="V18" s="85"/>
      <x:c r="W18" s="85"/>
      <x:c r="X18" s="85"/>
      <x:c r="Y18" s="85"/>
      <x:c r="Z18" s="85"/>
    </x:row>
    <x:row r="19">
      <x:c r="A19" s="85"/>
      <x:c r="B19" s="85"/>
      <x:c r="C19" s="85"/>
      <x:c r="D19" s="85"/>
      <x:c r="E19" s="85"/>
      <x:c r="F19" s="85"/>
      <x:c r="G19" s="85"/>
      <x:c r="H19" s="85"/>
      <x:c r="I19" s="85"/>
      <x:c r="J19" s="85"/>
      <x:c r="K19" s="85"/>
      <x:c r="L19" s="85"/>
      <x:c r="M19" s="85"/>
      <x:c r="N19" s="85"/>
      <x:c r="O19" s="85"/>
      <x:c r="P19" s="85"/>
      <x:c r="Q19" s="85"/>
      <x:c r="R19" s="85"/>
      <x:c r="S19" s="85"/>
      <x:c r="T19" s="85"/>
      <x:c r="U19" s="85"/>
      <x:c r="V19" s="85"/>
      <x:c r="W19" s="85"/>
      <x:c r="X19" s="85"/>
      <x:c r="Y19" s="85"/>
      <x:c r="Z19" s="85"/>
    </x:row>
    <x:row r="20">
      <x:c r="A20" s="85"/>
      <x:c r="B20" s="85"/>
      <x:c r="C20" s="85"/>
      <x:c r="D20" s="85"/>
      <x:c r="E20" s="85"/>
      <x:c r="F20" s="85"/>
      <x:c r="G20" s="85"/>
      <x:c r="H20" s="85"/>
      <x:c r="I20" s="85"/>
      <x:c r="J20" s="85"/>
      <x:c r="K20" s="85"/>
      <x:c r="L20" s="85"/>
      <x:c r="M20" s="85"/>
      <x:c r="N20" s="85"/>
      <x:c r="O20" s="85"/>
      <x:c r="P20" s="85"/>
      <x:c r="Q20" s="85"/>
      <x:c r="R20" s="85"/>
      <x:c r="S20" s="85"/>
      <x:c r="T20" s="85"/>
      <x:c r="U20" s="85"/>
      <x:c r="V20" s="85"/>
      <x:c r="W20" s="85"/>
      <x:c r="X20" s="85"/>
      <x:c r="Y20" s="85"/>
      <x:c r="Z20" s="85"/>
    </x:row>
    <x:row r="21">
      <x:c r="A21" s="85"/>
      <x:c r="B21" s="85"/>
      <x:c r="C21" s="85"/>
      <x:c r="D21" s="85"/>
      <x:c r="E21" s="85"/>
      <x:c r="F21" s="85"/>
      <x:c r="G21" s="85"/>
      <x:c r="H21" s="85"/>
      <x:c r="I21" s="85"/>
      <x:c r="J21" s="85"/>
      <x:c r="K21" s="85"/>
      <x:c r="L21" s="85"/>
      <x:c r="M21" s="85"/>
      <x:c r="N21" s="85"/>
      <x:c r="O21" s="85"/>
      <x:c r="P21" s="85"/>
      <x:c r="Q21" s="85"/>
      <x:c r="R21" s="85"/>
      <x:c r="S21" s="85"/>
      <x:c r="T21" s="85"/>
      <x:c r="U21" s="85"/>
      <x:c r="V21" s="85"/>
      <x:c r="W21" s="85"/>
      <x:c r="X21" s="85"/>
      <x:c r="Y21" s="85"/>
      <x:c r="Z21" s="85"/>
    </x:row>
    <x:row r="22">
      <x:c r="A22" s="85"/>
      <x:c r="B22" s="85"/>
      <x:c r="C22" s="85"/>
      <x:c r="D22" s="85"/>
      <x:c r="E22" s="85"/>
      <x:c r="F22" s="85"/>
      <x:c r="G22" s="85"/>
      <x:c r="H22" s="85"/>
      <x:c r="I22" s="85"/>
      <x:c r="J22" s="85"/>
      <x:c r="K22" s="85"/>
      <x:c r="L22" s="85"/>
      <x:c r="M22" s="85"/>
      <x:c r="N22" s="85"/>
      <x:c r="O22" s="85"/>
      <x:c r="P22" s="85"/>
      <x:c r="Q22" s="85"/>
      <x:c r="R22" s="85"/>
      <x:c r="S22" s="85"/>
      <x:c r="T22" s="85"/>
      <x:c r="U22" s="85"/>
      <x:c r="V22" s="85"/>
      <x:c r="W22" s="85"/>
      <x:c r="X22" s="85"/>
      <x:c r="Y22" s="85"/>
      <x:c r="Z22" s="85"/>
    </x:row>
    <x:row r="23">
      <x:c r="A23" s="85"/>
      <x:c r="B23" s="85"/>
      <x:c r="C23" s="85"/>
      <x:c r="D23" s="85"/>
      <x:c r="E23" s="85"/>
      <x:c r="F23" s="85"/>
      <x:c r="G23" s="85"/>
      <x:c r="H23" s="85"/>
      <x:c r="I23" s="85"/>
      <x:c r="J23" s="85"/>
      <x:c r="K23" s="85"/>
      <x:c r="L23" s="85"/>
      <x:c r="M23" s="85"/>
      <x:c r="N23" s="85"/>
      <x:c r="O23" s="85"/>
      <x:c r="P23" s="85"/>
      <x:c r="Q23" s="85"/>
      <x:c r="R23" s="85"/>
      <x:c r="S23" s="85"/>
      <x:c r="T23" s="85"/>
      <x:c r="U23" s="85"/>
      <x:c r="V23" s="85"/>
      <x:c r="W23" s="85"/>
      <x:c r="X23" s="85"/>
      <x:c r="Y23" s="85"/>
      <x:c r="Z23" s="85"/>
    </x:row>
    <x:row r="24">
      <x:c r="A24" s="85"/>
      <x:c r="B24" s="85"/>
      <x:c r="C24" s="85"/>
      <x:c r="D24" s="85"/>
      <x:c r="E24" s="85"/>
      <x:c r="F24" s="85"/>
      <x:c r="G24" s="85"/>
      <x:c r="H24" s="85"/>
      <x:c r="I24" s="85"/>
      <x:c r="J24" s="85"/>
      <x:c r="K24" s="85"/>
      <x:c r="L24" s="85"/>
      <x:c r="M24" s="85"/>
      <x:c r="N24" s="85"/>
      <x:c r="O24" s="85"/>
      <x:c r="P24" s="85"/>
      <x:c r="Q24" s="85"/>
      <x:c r="R24" s="85"/>
      <x:c r="S24" s="85"/>
      <x:c r="T24" s="85"/>
      <x:c r="U24" s="85"/>
      <x:c r="V24" s="85"/>
      <x:c r="W24" s="85"/>
      <x:c r="X24" s="85"/>
      <x:c r="Y24" s="85"/>
      <x:c r="Z24" s="85"/>
    </x:row>
    <x:row r="25">
      <x:c r="A25" s="85"/>
      <x:c r="B25" s="85"/>
      <x:c r="C25" s="85"/>
      <x:c r="D25" s="85"/>
      <x:c r="E25" s="85"/>
      <x:c r="F25" s="85"/>
      <x:c r="G25" s="85"/>
      <x:c r="H25" s="85"/>
      <x:c r="I25" s="85"/>
      <x:c r="J25" s="85"/>
      <x:c r="K25" s="85"/>
      <x:c r="L25" s="85"/>
      <x:c r="M25" s="85"/>
      <x:c r="N25" s="85"/>
      <x:c r="O25" s="85"/>
      <x:c r="P25" s="85"/>
      <x:c r="Q25" s="85"/>
      <x:c r="R25" s="85"/>
      <x:c r="S25" s="85"/>
      <x:c r="T25" s="85"/>
      <x:c r="U25" s="85"/>
      <x:c r="V25" s="85"/>
      <x:c r="W25" s="85"/>
      <x:c r="X25" s="85"/>
      <x:c r="Y25" s="85"/>
      <x:c r="Z25" s="85"/>
    </x:row>
    <x:row r="26">
      <x:c r="A26" s="85"/>
      <x:c r="B26" s="85"/>
      <x:c r="C26" s="85"/>
      <x:c r="D26" s="85"/>
      <x:c r="E26" s="85"/>
      <x:c r="F26" s="85"/>
      <x:c r="G26" s="85"/>
      <x:c r="H26" s="85"/>
      <x:c r="I26" s="85"/>
      <x:c r="J26" s="85"/>
      <x:c r="K26" s="85"/>
      <x:c r="L26" s="85"/>
      <x:c r="M26" s="85"/>
      <x:c r="N26" s="85"/>
      <x:c r="O26" s="85"/>
      <x:c r="P26" s="85"/>
      <x:c r="Q26" s="85"/>
      <x:c r="R26" s="85"/>
      <x:c r="S26" s="85"/>
      <x:c r="T26" s="85"/>
      <x:c r="U26" s="85"/>
      <x:c r="V26" s="85"/>
      <x:c r="W26" s="85"/>
      <x:c r="X26" s="85"/>
      <x:c r="Y26" s="85"/>
      <x:c r="Z26" s="85"/>
    </x:row>
    <x:row r="27">
      <x:c r="A27" s="85"/>
      <x:c r="B27" s="85"/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5"/>
      <x:c r="T27" s="85"/>
      <x:c r="U27" s="85"/>
      <x:c r="V27" s="85"/>
      <x:c r="W27" s="85"/>
      <x:c r="X27" s="85"/>
      <x:c r="Y27" s="85"/>
      <x:c r="Z27" s="85"/>
    </x:row>
    <x:row r="28">
      <x:c r="A28" s="85"/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5"/>
      <x:c r="T28" s="85"/>
      <x:c r="U28" s="85"/>
      <x:c r="V28" s="85"/>
      <x:c r="W28" s="85"/>
      <x:c r="X28" s="85"/>
      <x:c r="Y28" s="85"/>
      <x:c r="Z28" s="85"/>
    </x:row>
    <x:row r="29">
      <x:c r="A29" s="85"/>
      <x:c r="B29" s="85"/>
      <x:c r="C29" s="85"/>
      <x:c r="D29" s="85"/>
      <x:c r="E29" s="85"/>
      <x:c r="F29" s="85"/>
      <x:c r="G29" s="85"/>
      <x:c r="H29" s="85"/>
      <x:c r="I29" s="85"/>
      <x:c r="J29" s="85"/>
      <x:c r="K29" s="85"/>
      <x:c r="L29" s="85"/>
      <x:c r="M29" s="85"/>
      <x:c r="N29" s="85"/>
      <x:c r="O29" s="85"/>
      <x:c r="P29" s="85"/>
      <x:c r="Q29" s="85"/>
      <x:c r="R29" s="85"/>
      <x:c r="S29" s="85"/>
      <x:c r="T29" s="85"/>
      <x:c r="U29" s="85"/>
      <x:c r="V29" s="85"/>
      <x:c r="W29" s="85"/>
      <x:c r="X29" s="85"/>
      <x:c r="Y29" s="85"/>
      <x:c r="Z29" s="85"/>
    </x:row>
    <x:row r="30">
      <x:c r="A30" s="85"/>
      <x:c r="B30" s="85"/>
      <x:c r="C30" s="85"/>
      <x:c r="D30" s="85"/>
      <x:c r="E30" s="85"/>
      <x:c r="F30" s="85"/>
      <x:c r="G30" s="85"/>
      <x:c r="H30" s="85"/>
      <x:c r="I30" s="85"/>
      <x:c r="J30" s="85"/>
      <x:c r="K30" s="85"/>
      <x:c r="L30" s="85"/>
      <x:c r="M30" s="85"/>
      <x:c r="N30" s="85"/>
      <x:c r="O30" s="85"/>
      <x:c r="P30" s="85"/>
      <x:c r="Q30" s="85"/>
      <x:c r="R30" s="85"/>
      <x:c r="S30" s="85"/>
      <x:c r="T30" s="85"/>
      <x:c r="U30" s="85"/>
      <x:c r="V30" s="85"/>
      <x:c r="W30" s="85"/>
      <x:c r="X30" s="85"/>
      <x:c r="Y30" s="85"/>
      <x:c r="Z30" s="85"/>
    </x:row>
    <x:row r="31">
      <x:c r="A31" s="85"/>
      <x:c r="B31" s="85"/>
      <x:c r="C31" s="85"/>
      <x:c r="D31" s="85"/>
      <x:c r="E31" s="85"/>
      <x:c r="F31" s="85"/>
      <x:c r="G31" s="85"/>
      <x:c r="H31" s="85"/>
      <x:c r="I31" s="85"/>
      <x:c r="J31" s="85"/>
      <x:c r="K31" s="85"/>
      <x:c r="L31" s="85"/>
      <x:c r="M31" s="85"/>
      <x:c r="N31" s="85"/>
      <x:c r="O31" s="85"/>
      <x:c r="P31" s="85"/>
      <x:c r="Q31" s="85"/>
      <x:c r="R31" s="85"/>
      <x:c r="S31" s="85"/>
      <x:c r="T31" s="85"/>
      <x:c r="U31" s="85"/>
      <x:c r="V31" s="85"/>
      <x:c r="W31" s="85"/>
      <x:c r="X31" s="85"/>
      <x:c r="Y31" s="85"/>
      <x:c r="Z31" s="85"/>
    </x:row>
    <x:row r="32">
      <x:c r="A32" s="85"/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  <x:c r="N32" s="85"/>
      <x:c r="O32" s="85"/>
      <x:c r="P32" s="85"/>
      <x:c r="Q32" s="85"/>
      <x:c r="R32" s="85"/>
      <x:c r="S32" s="85"/>
      <x:c r="T32" s="85"/>
      <x:c r="U32" s="85"/>
      <x:c r="V32" s="85"/>
      <x:c r="W32" s="85"/>
      <x:c r="X32" s="85"/>
      <x:c r="Y32" s="85"/>
      <x:c r="Z32" s="85"/>
    </x:row>
    <x:row r="33">
      <x:c r="A33" s="85"/>
      <x:c r="B33" s="85"/>
      <x:c r="C33" s="85"/>
      <x:c r="D33" s="85"/>
      <x:c r="E33" s="85"/>
      <x:c r="F33" s="85"/>
      <x:c r="G33" s="85"/>
      <x:c r="H33" s="85"/>
      <x:c r="I33" s="85"/>
      <x:c r="J33" s="85"/>
      <x:c r="K33" s="85"/>
      <x:c r="L33" s="85"/>
      <x:c r="M33" s="85"/>
      <x:c r="N33" s="85"/>
      <x:c r="O33" s="85"/>
      <x:c r="P33" s="85"/>
      <x:c r="Q33" s="85"/>
      <x:c r="R33" s="85"/>
      <x:c r="S33" s="85"/>
      <x:c r="T33" s="85"/>
      <x:c r="U33" s="85"/>
      <x:c r="V33" s="85"/>
      <x:c r="W33" s="85"/>
      <x:c r="X33" s="85"/>
      <x:c r="Y33" s="85"/>
      <x:c r="Z33" s="85"/>
    </x:row>
    <x:row r="34">
      <x:c r="A34" s="85"/>
      <x:c r="B34" s="85"/>
      <x:c r="C34" s="85"/>
      <x:c r="D34" s="85"/>
      <x:c r="E34" s="85"/>
      <x:c r="F34" s="85"/>
      <x:c r="G34" s="85"/>
      <x:c r="H34" s="85"/>
      <x:c r="I34" s="85"/>
      <x:c r="J34" s="85"/>
      <x:c r="K34" s="85"/>
      <x:c r="L34" s="85"/>
      <x:c r="M34" s="85"/>
      <x:c r="N34" s="85"/>
      <x:c r="O34" s="85"/>
      <x:c r="P34" s="85"/>
      <x:c r="Q34" s="85"/>
      <x:c r="R34" s="85"/>
      <x:c r="S34" s="85"/>
      <x:c r="T34" s="85"/>
      <x:c r="U34" s="85"/>
      <x:c r="V34" s="85"/>
      <x:c r="W34" s="85"/>
      <x:c r="X34" s="85"/>
      <x:c r="Y34" s="85"/>
      <x:c r="Z34" s="85"/>
    </x:row>
    <x:row r="35">
      <x:c r="A35" s="85"/>
      <x:c r="B35" s="85"/>
      <x:c r="C35" s="85"/>
      <x:c r="D35" s="85"/>
      <x:c r="E35" s="85"/>
      <x:c r="F35" s="85"/>
      <x:c r="G35" s="85"/>
      <x:c r="H35" s="85"/>
      <x:c r="I35" s="85"/>
      <x:c r="J35" s="85"/>
      <x:c r="K35" s="85"/>
      <x:c r="L35" s="85"/>
      <x:c r="M35" s="85"/>
      <x:c r="N35" s="85"/>
      <x:c r="O35" s="85"/>
      <x:c r="P35" s="85"/>
      <x:c r="Q35" s="85"/>
      <x:c r="R35" s="85"/>
      <x:c r="S35" s="85"/>
      <x:c r="T35" s="85"/>
      <x:c r="U35" s="85"/>
      <x:c r="V35" s="85"/>
      <x:c r="W35" s="85"/>
      <x:c r="X35" s="85"/>
      <x:c r="Y35" s="85"/>
      <x:c r="Z35" s="85"/>
    </x:row>
    <x:row r="36">
      <x:c r="A36" s="85"/>
      <x:c r="B36" s="85"/>
      <x:c r="C36" s="85"/>
      <x:c r="D36" s="85"/>
      <x:c r="E36" s="85"/>
      <x:c r="F36" s="85"/>
      <x:c r="G36" s="85"/>
      <x:c r="H36" s="85"/>
      <x:c r="I36" s="85"/>
      <x:c r="J36" s="85"/>
      <x:c r="K36" s="85"/>
      <x:c r="L36" s="85"/>
      <x:c r="M36" s="85"/>
      <x:c r="N36" s="85"/>
      <x:c r="O36" s="85"/>
      <x:c r="P36" s="85"/>
      <x:c r="Q36" s="85"/>
      <x:c r="R36" s="85"/>
      <x:c r="S36" s="85"/>
      <x:c r="T36" s="85"/>
      <x:c r="U36" s="85"/>
      <x:c r="V36" s="85"/>
      <x:c r="W36" s="85"/>
      <x:c r="X36" s="85"/>
      <x:c r="Y36" s="85"/>
      <x:c r="Z36" s="85"/>
    </x:row>
    <x:row r="37">
      <x:c r="A37" s="85"/>
      <x:c r="B37" s="85"/>
      <x:c r="C37" s="85"/>
      <x:c r="D37" s="85"/>
      <x:c r="E37" s="85"/>
      <x:c r="F37" s="85"/>
      <x:c r="G37" s="85"/>
      <x:c r="H37" s="85"/>
      <x:c r="I37" s="85"/>
      <x:c r="J37" s="85"/>
      <x:c r="K37" s="85"/>
      <x:c r="L37" s="85"/>
      <x:c r="M37" s="85"/>
      <x:c r="N37" s="85"/>
      <x:c r="O37" s="85"/>
      <x:c r="P37" s="85"/>
      <x:c r="Q37" s="85"/>
      <x:c r="R37" s="85"/>
      <x:c r="S37" s="85"/>
      <x:c r="T37" s="85"/>
      <x:c r="U37" s="85"/>
      <x:c r="V37" s="85"/>
      <x:c r="W37" s="85"/>
      <x:c r="X37" s="85"/>
      <x:c r="Y37" s="85"/>
      <x:c r="Z37" s="85"/>
    </x:row>
    <x:row r="38">
      <x:c r="A38" s="85"/>
      <x:c r="B38" s="85"/>
      <x:c r="C38" s="85"/>
      <x:c r="D38" s="85"/>
      <x:c r="E38" s="85"/>
      <x:c r="F38" s="85"/>
      <x:c r="G38" s="85"/>
      <x:c r="H38" s="85"/>
      <x:c r="I38" s="85"/>
      <x:c r="J38" s="85"/>
      <x:c r="K38" s="85"/>
      <x:c r="L38" s="85"/>
      <x:c r="M38" s="85"/>
      <x:c r="N38" s="85"/>
      <x:c r="O38" s="85"/>
      <x:c r="P38" s="85"/>
      <x:c r="Q38" s="85"/>
      <x:c r="R38" s="85"/>
      <x:c r="S38" s="85"/>
      <x:c r="T38" s="85"/>
      <x:c r="U38" s="85"/>
      <x:c r="V38" s="85"/>
      <x:c r="W38" s="85"/>
      <x:c r="X38" s="85"/>
      <x:c r="Y38" s="85"/>
      <x:c r="Z38" s="85"/>
    </x:row>
    <x:row r="39">
      <x:c r="A39" s="85"/>
      <x:c r="B39" s="85"/>
      <x:c r="C39" s="85"/>
      <x:c r="D39" s="85"/>
      <x:c r="E39" s="85"/>
      <x:c r="F39" s="85"/>
      <x:c r="G39" s="85"/>
      <x:c r="H39" s="85"/>
      <x:c r="I39" s="85"/>
      <x:c r="J39" s="85"/>
      <x:c r="K39" s="85"/>
      <x:c r="L39" s="85"/>
      <x:c r="M39" s="85"/>
      <x:c r="N39" s="85"/>
      <x:c r="O39" s="85"/>
      <x:c r="P39" s="85"/>
      <x:c r="Q39" s="85"/>
      <x:c r="R39" s="85"/>
      <x:c r="S39" s="85"/>
      <x:c r="T39" s="85"/>
      <x:c r="U39" s="85"/>
      <x:c r="V39" s="85"/>
      <x:c r="W39" s="85"/>
      <x:c r="X39" s="85"/>
      <x:c r="Y39" s="85"/>
      <x:c r="Z39" s="85"/>
    </x:row>
    <x:row r="40">
      <x:c r="A40" s="85"/>
      <x:c r="B40" s="85"/>
      <x:c r="C40" s="85"/>
      <x:c r="D40" s="85"/>
      <x:c r="E40" s="85"/>
      <x:c r="F40" s="85"/>
      <x:c r="G40" s="85"/>
      <x:c r="H40" s="85"/>
      <x:c r="I40" s="85"/>
      <x:c r="J40" s="85"/>
      <x:c r="K40" s="85"/>
      <x:c r="L40" s="85"/>
      <x:c r="M40" s="85"/>
      <x:c r="N40" s="85"/>
      <x:c r="O40" s="85"/>
      <x:c r="P40" s="85"/>
      <x:c r="Q40" s="85"/>
      <x:c r="R40" s="85"/>
      <x:c r="S40" s="85"/>
      <x:c r="T40" s="85"/>
      <x:c r="U40" s="85"/>
      <x:c r="V40" s="85"/>
      <x:c r="W40" s="85"/>
      <x:c r="X40" s="85"/>
      <x:c r="Y40" s="85"/>
      <x:c r="Z40" s="85"/>
    </x:row>
    <x:row r="41">
      <x:c r="A41" s="85"/>
      <x:c r="B41" s="85"/>
      <x:c r="C41" s="85"/>
      <x:c r="D41" s="85"/>
      <x:c r="E41" s="85"/>
      <x:c r="F41" s="85"/>
      <x:c r="G41" s="85"/>
      <x:c r="H41" s="85"/>
      <x:c r="I41" s="85"/>
      <x:c r="J41" s="85"/>
      <x:c r="K41" s="85"/>
      <x:c r="L41" s="85"/>
      <x:c r="M41" s="85"/>
      <x:c r="N41" s="85"/>
      <x:c r="O41" s="85"/>
      <x:c r="P41" s="85"/>
      <x:c r="Q41" s="85"/>
      <x:c r="R41" s="85"/>
      <x:c r="S41" s="85"/>
      <x:c r="T41" s="85"/>
      <x:c r="U41" s="85"/>
      <x:c r="V41" s="85"/>
      <x:c r="W41" s="85"/>
      <x:c r="X41" s="85"/>
      <x:c r="Y41" s="85"/>
      <x:c r="Z41" s="85"/>
    </x:row>
    <x:row r="42">
      <x:c r="A42" s="85"/>
      <x:c r="B42" s="85"/>
      <x:c r="C42" s="85"/>
      <x:c r="D42" s="85"/>
      <x:c r="E42" s="85"/>
      <x:c r="F42" s="85"/>
      <x:c r="G42" s="85"/>
      <x:c r="H42" s="85"/>
      <x:c r="I42" s="85"/>
      <x:c r="J42" s="85"/>
      <x:c r="K42" s="85"/>
      <x:c r="L42" s="85"/>
      <x:c r="M42" s="85"/>
      <x:c r="N42" s="85"/>
      <x:c r="O42" s="85"/>
      <x:c r="P42" s="85"/>
      <x:c r="Q42" s="85"/>
      <x:c r="R42" s="85"/>
      <x:c r="S42" s="85"/>
      <x:c r="T42" s="85"/>
      <x:c r="U42" s="85"/>
      <x:c r="V42" s="85"/>
      <x:c r="W42" s="85"/>
      <x:c r="X42" s="85"/>
      <x:c r="Y42" s="85"/>
      <x:c r="Z42" s="85"/>
    </x:row>
    <x:row r="43">
      <x:c r="A43" s="85"/>
      <x:c r="B43" s="85"/>
      <x:c r="C43" s="85"/>
      <x:c r="D43" s="85"/>
      <x:c r="E43" s="85"/>
      <x:c r="F43" s="85"/>
      <x:c r="G43" s="85"/>
      <x:c r="H43" s="85"/>
      <x:c r="I43" s="85"/>
      <x:c r="J43" s="85"/>
      <x:c r="K43" s="85"/>
      <x:c r="L43" s="85"/>
      <x:c r="M43" s="85"/>
      <x:c r="N43" s="85"/>
      <x:c r="O43" s="85"/>
      <x:c r="P43" s="85"/>
      <x:c r="Q43" s="85"/>
      <x:c r="R43" s="85"/>
      <x:c r="S43" s="85"/>
      <x:c r="T43" s="85"/>
      <x:c r="U43" s="85"/>
      <x:c r="V43" s="85"/>
      <x:c r="W43" s="85"/>
      <x:c r="X43" s="85"/>
      <x:c r="Y43" s="85"/>
      <x:c r="Z43" s="85"/>
    </x:row>
    <x:row r="44">
      <x:c r="A44" s="85"/>
      <x:c r="B44" s="85"/>
      <x:c r="C44" s="85"/>
      <x:c r="D44" s="85"/>
      <x:c r="E44" s="85"/>
      <x:c r="F44" s="85"/>
      <x:c r="G44" s="85"/>
      <x:c r="H44" s="85"/>
      <x:c r="I44" s="85"/>
      <x:c r="J44" s="85"/>
      <x:c r="K44" s="85"/>
      <x:c r="L44" s="85"/>
      <x:c r="M44" s="85"/>
      <x:c r="N44" s="85"/>
      <x:c r="O44" s="85"/>
      <x:c r="P44" s="85"/>
      <x:c r="Q44" s="85"/>
      <x:c r="R44" s="85"/>
      <x:c r="S44" s="85"/>
      <x:c r="T44" s="85"/>
      <x:c r="U44" s="85"/>
      <x:c r="V44" s="85"/>
      <x:c r="W44" s="85"/>
      <x:c r="X44" s="85"/>
      <x:c r="Y44" s="85"/>
      <x:c r="Z44" s="85"/>
    </x:row>
    <x:row r="45">
      <x:c r="A45" s="85"/>
      <x:c r="B45" s="85"/>
      <x:c r="C45" s="85"/>
      <x:c r="D45" s="85"/>
      <x:c r="E45" s="85"/>
      <x:c r="F45" s="85"/>
      <x:c r="G45" s="85"/>
      <x:c r="H45" s="85"/>
      <x:c r="I45" s="85"/>
      <x:c r="J45" s="85"/>
      <x:c r="K45" s="85"/>
      <x:c r="L45" s="85"/>
      <x:c r="M45" s="85"/>
      <x:c r="N45" s="85"/>
      <x:c r="O45" s="85"/>
      <x:c r="P45" s="85"/>
      <x:c r="Q45" s="85"/>
      <x:c r="R45" s="85"/>
      <x:c r="S45" s="85"/>
      <x:c r="T45" s="85"/>
      <x:c r="U45" s="85"/>
      <x:c r="V45" s="85"/>
      <x:c r="W45" s="85"/>
      <x:c r="X45" s="85"/>
      <x:c r="Y45" s="85"/>
      <x:c r="Z45" s="85"/>
    </x:row>
    <x:row r="46">
      <x:c r="A46" s="85"/>
      <x:c r="B46" s="85"/>
      <x:c r="C46" s="85"/>
      <x:c r="D46" s="85"/>
      <x:c r="E46" s="85"/>
      <x:c r="F46" s="85"/>
      <x:c r="G46" s="85"/>
      <x:c r="H46" s="85"/>
      <x:c r="I46" s="85"/>
      <x:c r="J46" s="85"/>
      <x:c r="K46" s="85"/>
      <x:c r="L46" s="85"/>
      <x:c r="M46" s="85"/>
      <x:c r="N46" s="85"/>
      <x:c r="O46" s="85"/>
      <x:c r="P46" s="85"/>
      <x:c r="Q46" s="85"/>
      <x:c r="R46" s="85"/>
      <x:c r="S46" s="85"/>
      <x:c r="T46" s="85"/>
      <x:c r="U46" s="85"/>
      <x:c r="V46" s="85"/>
      <x:c r="W46" s="85"/>
      <x:c r="X46" s="85"/>
      <x:c r="Y46" s="85"/>
      <x:c r="Z46" s="85"/>
    </x:row>
    <x:row r="47">
      <x:c r="A47" s="85"/>
      <x:c r="B47" s="85"/>
      <x:c r="C47" s="85"/>
      <x:c r="D47" s="85"/>
      <x:c r="E47" s="85"/>
      <x:c r="F47" s="85"/>
      <x:c r="G47" s="85"/>
      <x:c r="H47" s="85"/>
      <x:c r="I47" s="85"/>
      <x:c r="J47" s="85"/>
      <x:c r="K47" s="85"/>
      <x:c r="L47" s="85"/>
      <x:c r="M47" s="85"/>
      <x:c r="N47" s="85"/>
      <x:c r="O47" s="85"/>
      <x:c r="P47" s="85"/>
      <x:c r="Q47" s="85"/>
      <x:c r="R47" s="85"/>
      <x:c r="S47" s="85"/>
      <x:c r="T47" s="85"/>
      <x:c r="U47" s="85"/>
      <x:c r="V47" s="85"/>
      <x:c r="W47" s="85"/>
      <x:c r="X47" s="85"/>
      <x:c r="Y47" s="85"/>
      <x:c r="Z47" s="85"/>
    </x:row>
    <x:row r="48">
      <x:c r="A48" s="85"/>
      <x:c r="B48" s="85"/>
      <x:c r="C48" s="85"/>
      <x:c r="D48" s="85"/>
      <x:c r="E48" s="85"/>
      <x:c r="F48" s="85"/>
      <x:c r="G48" s="85"/>
      <x:c r="H48" s="85"/>
      <x:c r="I48" s="85"/>
      <x:c r="J48" s="85"/>
      <x:c r="K48" s="85"/>
      <x:c r="L48" s="85"/>
      <x:c r="M48" s="85"/>
      <x:c r="N48" s="85"/>
      <x:c r="O48" s="85"/>
      <x:c r="P48" s="85"/>
      <x:c r="Q48" s="85"/>
      <x:c r="R48" s="85"/>
      <x:c r="S48" s="85"/>
      <x:c r="T48" s="85"/>
      <x:c r="U48" s="85"/>
      <x:c r="V48" s="85"/>
      <x:c r="W48" s="85"/>
      <x:c r="X48" s="85"/>
      <x:c r="Y48" s="85"/>
      <x:c r="Z48" s="85"/>
    </x:row>
    <x:row r="49">
      <x:c r="A49" s="85"/>
      <x:c r="B49" s="85"/>
      <x:c r="C49" s="85"/>
      <x:c r="D49" s="85"/>
      <x:c r="E49" s="85"/>
      <x:c r="F49" s="85"/>
      <x:c r="G49" s="85"/>
      <x:c r="H49" s="85"/>
      <x:c r="I49" s="85"/>
      <x:c r="J49" s="85"/>
      <x:c r="K49" s="85"/>
      <x:c r="L49" s="85"/>
      <x:c r="M49" s="85"/>
      <x:c r="N49" s="85"/>
      <x:c r="O49" s="85"/>
      <x:c r="P49" s="85"/>
      <x:c r="Q49" s="85"/>
      <x:c r="R49" s="85"/>
      <x:c r="S49" s="85"/>
      <x:c r="T49" s="85"/>
      <x:c r="U49" s="85"/>
      <x:c r="V49" s="85"/>
      <x:c r="W49" s="85"/>
      <x:c r="X49" s="85"/>
      <x:c r="Y49" s="85"/>
      <x:c r="Z49" s="85"/>
    </x:row>
    <x:row r="50">
      <x:c r="A50" s="85"/>
      <x:c r="B50" s="85"/>
      <x:c r="C50" s="85"/>
      <x:c r="D50" s="85"/>
      <x:c r="E50" s="85"/>
      <x:c r="F50" s="85"/>
      <x:c r="G50" s="85"/>
      <x:c r="H50" s="85"/>
      <x:c r="I50" s="85"/>
      <x:c r="J50" s="85"/>
      <x:c r="K50" s="85"/>
      <x:c r="L50" s="85"/>
      <x:c r="M50" s="85"/>
      <x:c r="N50" s="85"/>
      <x:c r="O50" s="85"/>
      <x:c r="P50" s="85"/>
      <x:c r="Q50" s="85"/>
      <x:c r="R50" s="85"/>
      <x:c r="S50" s="85"/>
      <x:c r="T50" s="85"/>
      <x:c r="U50" s="85"/>
      <x:c r="V50" s="85"/>
      <x:c r="W50" s="85"/>
      <x:c r="X50" s="85"/>
      <x:c r="Y50" s="85"/>
      <x:c r="Z50" s="85"/>
    </x:row>
    <x:row r="51">
      <x:c r="A51" s="85"/>
      <x:c r="B51" s="85"/>
      <x:c r="C51" s="85"/>
      <x:c r="D51" s="85"/>
      <x:c r="E51" s="85"/>
      <x:c r="F51" s="85"/>
      <x:c r="G51" s="85"/>
      <x:c r="H51" s="85"/>
      <x:c r="I51" s="85"/>
      <x:c r="J51" s="85"/>
      <x:c r="K51" s="85"/>
      <x:c r="L51" s="85"/>
      <x:c r="M51" s="85"/>
      <x:c r="N51" s="85"/>
      <x:c r="O51" s="85"/>
      <x:c r="P51" s="85"/>
      <x:c r="Q51" s="85"/>
      <x:c r="R51" s="85"/>
      <x:c r="S51" s="85"/>
      <x:c r="T51" s="85"/>
      <x:c r="U51" s="85"/>
      <x:c r="V51" s="85"/>
      <x:c r="W51" s="85"/>
      <x:c r="X51" s="85"/>
      <x:c r="Y51" s="85"/>
      <x:c r="Z51" s="85"/>
    </x:row>
    <x:row r="52">
      <x:c r="A52" s="85"/>
      <x:c r="B52" s="85"/>
      <x:c r="C52" s="85"/>
      <x:c r="D52" s="85"/>
      <x:c r="E52" s="85"/>
      <x:c r="F52" s="85"/>
      <x:c r="G52" s="85"/>
      <x:c r="H52" s="85"/>
      <x:c r="I52" s="85"/>
      <x:c r="J52" s="85"/>
      <x:c r="K52" s="85"/>
      <x:c r="L52" s="85"/>
      <x:c r="M52" s="85"/>
      <x:c r="N52" s="85"/>
      <x:c r="O52" s="85"/>
      <x:c r="P52" s="85"/>
      <x:c r="Q52" s="85"/>
      <x:c r="R52" s="85"/>
      <x:c r="S52" s="85"/>
      <x:c r="T52" s="85"/>
      <x:c r="U52" s="85"/>
      <x:c r="V52" s="85"/>
      <x:c r="W52" s="85"/>
      <x:c r="X52" s="85"/>
      <x:c r="Y52" s="85"/>
      <x:c r="Z52" s="85"/>
    </x:row>
    <x:row r="53">
      <x:c r="A53" s="85"/>
      <x:c r="B53" s="85"/>
      <x:c r="C53" s="85"/>
      <x:c r="D53" s="85"/>
      <x:c r="E53" s="85"/>
      <x:c r="F53" s="85"/>
      <x:c r="G53" s="85"/>
      <x:c r="H53" s="85"/>
      <x:c r="I53" s="85"/>
      <x:c r="J53" s="85"/>
      <x:c r="K53" s="85"/>
      <x:c r="L53" s="85"/>
      <x:c r="M53" s="85"/>
      <x:c r="N53" s="85"/>
      <x:c r="O53" s="85"/>
      <x:c r="P53" s="85"/>
      <x:c r="Q53" s="85"/>
      <x:c r="R53" s="85"/>
      <x:c r="S53" s="85"/>
      <x:c r="T53" s="85"/>
      <x:c r="U53" s="85"/>
      <x:c r="V53" s="85"/>
      <x:c r="W53" s="85"/>
      <x:c r="X53" s="85"/>
      <x:c r="Y53" s="85"/>
      <x:c r="Z53" s="85"/>
    </x:row>
    <x:row r="54">
      <x:c r="A54" s="85"/>
      <x:c r="B54" s="85"/>
      <x:c r="C54" s="85"/>
      <x:c r="D54" s="85"/>
      <x:c r="E54" s="85"/>
      <x:c r="F54" s="85"/>
      <x:c r="G54" s="85"/>
      <x:c r="H54" s="85"/>
      <x:c r="I54" s="85"/>
      <x:c r="J54" s="85"/>
      <x:c r="K54" s="85"/>
      <x:c r="L54" s="85"/>
      <x:c r="M54" s="85"/>
      <x:c r="N54" s="85"/>
      <x:c r="O54" s="85"/>
      <x:c r="P54" s="85"/>
      <x:c r="Q54" s="85"/>
      <x:c r="R54" s="85"/>
      <x:c r="S54" s="85"/>
      <x:c r="T54" s="85"/>
      <x:c r="U54" s="85"/>
      <x:c r="V54" s="85"/>
      <x:c r="W54" s="85"/>
      <x:c r="X54" s="85"/>
      <x:c r="Y54" s="85"/>
      <x:c r="Z54" s="85"/>
    </x:row>
    <x:row r="55">
      <x:c r="A55" s="85"/>
      <x:c r="B55" s="85"/>
      <x:c r="C55" s="85"/>
      <x:c r="D55" s="85"/>
      <x:c r="E55" s="85"/>
      <x:c r="F55" s="85"/>
      <x:c r="G55" s="85"/>
      <x:c r="H55" s="85"/>
      <x:c r="I55" s="85"/>
      <x:c r="J55" s="85"/>
      <x:c r="K55" s="85"/>
      <x:c r="L55" s="85"/>
      <x:c r="M55" s="85"/>
      <x:c r="N55" s="85"/>
      <x:c r="O55" s="85"/>
      <x:c r="P55" s="85"/>
      <x:c r="Q55" s="85"/>
      <x:c r="R55" s="85"/>
      <x:c r="S55" s="85"/>
      <x:c r="T55" s="85"/>
      <x:c r="U55" s="85"/>
      <x:c r="V55" s="85"/>
      <x:c r="W55" s="85"/>
      <x:c r="X55" s="85"/>
      <x:c r="Y55" s="85"/>
      <x:c r="Z55" s="85"/>
    </x:row>
    <x:row r="56">
      <x:c r="A56" s="85"/>
      <x:c r="B56" s="85"/>
      <x:c r="C56" s="85"/>
      <x:c r="D56" s="85"/>
      <x:c r="E56" s="85"/>
      <x:c r="F56" s="85"/>
      <x:c r="G56" s="85"/>
      <x:c r="H56" s="85"/>
      <x:c r="I56" s="85"/>
      <x:c r="J56" s="85"/>
      <x:c r="K56" s="85"/>
      <x:c r="L56" s="85"/>
      <x:c r="M56" s="85"/>
      <x:c r="N56" s="85"/>
      <x:c r="O56" s="85"/>
      <x:c r="P56" s="85"/>
      <x:c r="Q56" s="85"/>
      <x:c r="R56" s="85"/>
      <x:c r="S56" s="85"/>
      <x:c r="T56" s="85"/>
      <x:c r="U56" s="85"/>
      <x:c r="V56" s="85"/>
      <x:c r="W56" s="85"/>
      <x:c r="X56" s="85"/>
      <x:c r="Y56" s="85"/>
      <x:c r="Z56" s="85"/>
    </x:row>
    <x:row r="57">
      <x:c r="A57" s="85"/>
      <x:c r="B57" s="85"/>
      <x:c r="C57" s="85"/>
      <x:c r="D57" s="85"/>
      <x:c r="E57" s="85"/>
      <x:c r="F57" s="85"/>
      <x:c r="G57" s="85"/>
      <x:c r="H57" s="85"/>
      <x:c r="I57" s="85"/>
      <x:c r="J57" s="85"/>
      <x:c r="K57" s="85"/>
      <x:c r="L57" s="85"/>
      <x:c r="M57" s="85"/>
      <x:c r="N57" s="85"/>
      <x:c r="O57" s="85"/>
      <x:c r="P57" s="85"/>
      <x:c r="Q57" s="85"/>
      <x:c r="R57" s="85"/>
      <x:c r="S57" s="85"/>
      <x:c r="T57" s="85"/>
      <x:c r="U57" s="85"/>
      <x:c r="V57" s="85"/>
      <x:c r="W57" s="85"/>
      <x:c r="X57" s="85"/>
      <x:c r="Y57" s="85"/>
      <x:c r="Z57" s="85"/>
    </x:row>
    <x:row r="58">
      <x:c r="A58" s="85"/>
      <x:c r="B58" s="85"/>
      <x:c r="C58" s="85"/>
      <x:c r="D58" s="85"/>
      <x:c r="E58" s="85"/>
      <x:c r="F58" s="85"/>
      <x:c r="G58" s="85"/>
      <x:c r="H58" s="85"/>
      <x:c r="I58" s="85"/>
      <x:c r="J58" s="85"/>
      <x:c r="K58" s="85"/>
      <x:c r="L58" s="85"/>
      <x:c r="M58" s="85"/>
      <x:c r="N58" s="85"/>
      <x:c r="O58" s="85"/>
      <x:c r="P58" s="85"/>
      <x:c r="Q58" s="85"/>
      <x:c r="R58" s="85"/>
      <x:c r="S58" s="85"/>
      <x:c r="T58" s="85"/>
      <x:c r="U58" s="85"/>
      <x:c r="V58" s="85"/>
      <x:c r="W58" s="85"/>
      <x:c r="X58" s="85"/>
      <x:c r="Y58" s="85"/>
      <x:c r="Z58" s="85"/>
    </x:row>
    <x:row r="59">
      <x:c r="A59" s="85"/>
      <x:c r="B59" s="85"/>
      <x:c r="C59" s="85"/>
      <x:c r="D59" s="85"/>
      <x:c r="E59" s="85"/>
      <x:c r="F59" s="85"/>
      <x:c r="G59" s="85"/>
      <x:c r="H59" s="85"/>
      <x:c r="I59" s="85"/>
      <x:c r="J59" s="85"/>
      <x:c r="K59" s="85"/>
      <x:c r="L59" s="85"/>
      <x:c r="M59" s="85"/>
      <x:c r="N59" s="85"/>
      <x:c r="O59" s="85"/>
      <x:c r="P59" s="85"/>
      <x:c r="Q59" s="85"/>
      <x:c r="R59" s="85"/>
      <x:c r="S59" s="85"/>
      <x:c r="T59" s="85"/>
      <x:c r="U59" s="85"/>
      <x:c r="V59" s="85"/>
      <x:c r="W59" s="85"/>
      <x:c r="X59" s="85"/>
      <x:c r="Y59" s="85"/>
      <x:c r="Z59" s="85"/>
    </x:row>
    <x:row r="60">
      <x:c r="A60" s="85"/>
      <x:c r="B60" s="85"/>
      <x:c r="C60" s="85"/>
      <x:c r="D60" s="85"/>
      <x:c r="E60" s="85"/>
      <x:c r="F60" s="85"/>
      <x:c r="G60" s="85"/>
      <x:c r="H60" s="85"/>
      <x:c r="I60" s="85"/>
      <x:c r="J60" s="85"/>
      <x:c r="K60" s="85"/>
      <x:c r="L60" s="85"/>
      <x:c r="M60" s="85"/>
      <x:c r="N60" s="85"/>
      <x:c r="O60" s="85"/>
      <x:c r="P60" s="85"/>
      <x:c r="Q60" s="85"/>
      <x:c r="R60" s="85"/>
      <x:c r="S60" s="85"/>
      <x:c r="T60" s="85"/>
      <x:c r="U60" s="85"/>
      <x:c r="V60" s="85"/>
      <x:c r="W60" s="85"/>
      <x:c r="X60" s="85"/>
      <x:c r="Y60" s="85"/>
      <x:c r="Z60" s="85"/>
    </x:row>
  </x:sheetData>
  <x:mergeCells>
    <x:mergeCell ref="A1:F1"/>
    <x:mergeCell ref="A2:F2"/>
  </x:mergeCells>
  <x:pageMargins left="0.7" right="0.7" top="0.75" bottom="0.75" header="0.3" footer="0.3"/>
</x:worksheet>
</file>